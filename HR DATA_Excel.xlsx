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072" firstSheet="7" activeTab="11"/>
  </bookViews>
  <sheets>
    <sheet name="KPI" sheetId="7" r:id="rId1"/>
    <sheet name="Rating" sheetId="8" r:id="rId2"/>
    <sheet name="Gender" sheetId="9" r:id="rId3"/>
    <sheet name="Education by Attrition" sheetId="10" r:id="rId4"/>
    <sheet name="Attrition by Job" sheetId="11" r:id="rId5"/>
    <sheet name="Dept wise Attrition" sheetId="12" r:id="rId6"/>
    <sheet name="Attrition by Age grp" sheetId="13" r:id="rId7"/>
    <sheet name="Marital Status" sheetId="14" r:id="rId8"/>
    <sheet name="Data" sheetId="1" r:id="rId9"/>
    <sheet name="Images" sheetId="2" r:id="rId10"/>
    <sheet name="Background 1" sheetId="3" r:id="rId11"/>
    <sheet name="Background 2" sheetId="4" r:id="rId12"/>
    <sheet name="Background 3" sheetId="5" r:id="rId13"/>
    <sheet name="Background 4" sheetId="6" r:id="rId14"/>
  </sheets>
  <definedNames>
    <definedName name="_xlchart.v1.0" hidden="1">'Attrition by Job'!$E$4:$E$12</definedName>
    <definedName name="_xlchart.v1.1" hidden="1">'Attrition by Job'!$F$4:$F$12</definedName>
    <definedName name="_xlchart.v1.2" hidden="1">'Attrition by Job'!$E$4:$E$12</definedName>
    <definedName name="_xlchart.v1.3" hidden="1">'Attrition by Job'!$F$4:$F$12</definedName>
    <definedName name="Slicer_Department">#N/A</definedName>
    <definedName name="Slicer_Education_Field2">#N/A</definedName>
    <definedName name="Slicer_Gender2">#N/A</definedName>
  </definedNames>
  <calcPr calcId="162913"/>
  <pivotCaches>
    <pivotCache cacheId="0" r:id="rId15"/>
  </pivotCaches>
  <extLs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uri="GoogleSheetsCustomDataVersion2">
      <go:sheetsCustomData xmlns:go="http://customooxmlschemas.google.com/" r:id="rId19" roundtripDataChecksum="0W7NtiAel2xy0cZdwUBcRsMoEuXg6pzXui43o1bypBA="/>
    </ext>
  </extLst>
</workbook>
</file>

<file path=xl/calcChain.xml><?xml version="1.0" encoding="utf-8"?>
<calcChain xmlns="http://schemas.openxmlformats.org/spreadsheetml/2006/main">
  <c r="D5" i="14" l="1"/>
  <c r="D4" i="14"/>
  <c r="D6" i="14"/>
  <c r="E5" i="11"/>
  <c r="E6" i="11"/>
  <c r="E7" i="11"/>
  <c r="E8" i="11"/>
  <c r="E9" i="11"/>
  <c r="E10" i="11"/>
  <c r="E11" i="11"/>
  <c r="E12" i="11"/>
  <c r="E4" i="11"/>
  <c r="E5" i="14"/>
  <c r="E4" i="14"/>
  <c r="B10" i="9"/>
  <c r="C8" i="7"/>
  <c r="F4" i="11"/>
  <c r="F11" i="11"/>
  <c r="F8" i="11"/>
  <c r="F5" i="11"/>
  <c r="A8" i="7"/>
  <c r="F7" i="11"/>
  <c r="F9" i="11"/>
  <c r="F6" i="11"/>
  <c r="E6" i="14"/>
  <c r="B9" i="9"/>
  <c r="B8" i="7"/>
  <c r="F10" i="11"/>
  <c r="B7" i="8"/>
  <c r="B8" i="8"/>
  <c r="F12" i="11"/>
  <c r="C9" i="9" l="1"/>
  <c r="C10" i="9"/>
  <c r="C7" i="8"/>
  <c r="C8" i="8"/>
  <c r="D8" i="7"/>
  <c r="E8" i="7"/>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<sst xmlns="http://schemas.openxmlformats.org/spreadsheetml/2006/main" count="19216" uniqueCount="1569">
  <si>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</si>
  <si>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</si>
  <si>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</si>
  <si>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</si>
  <si>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</si>
  <si>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</si>
  <si>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</si>
  <si>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</si>
  <si>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</si>
  <si>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</si>
  <si>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</si>
  <si>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</si>
  <si>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</si>
  <si>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</si>
  <si>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</si>
  <si>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</si>
  <si>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</si>
  <si>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</si>
  <si>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</si>
  <si>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</si>
  <si>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</si>
  <si>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</si>
  <si>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</si>
  <si>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</si>
  <si>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</si>
  <si>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</si>
  <si>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</si>
  <si>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</si>
  <si>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</si>
  <si>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</si>
  <si>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</si>
  <si>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</si>
  <si>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</si>
  <si>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</si>
  <si>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</si>
  <si>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</si>
  <si>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</si>
  <si>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</si>
  <si>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</si>
  <si>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</si>
  <si>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</si>
  <si>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</si>
  <si>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</si>
  <si>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</si>
  <si>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</si>
  <si>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</si>
  <si>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</si>
  <si>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</si>
  <si>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</si>
  <si>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</si>
  <si>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</si>
  <si>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</si>
  <si>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</si>
  <si>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</si>
  <si>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</si>
  <si>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</si>
  <si>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</si>
  <si>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</si>
  <si>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</si>
  <si>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</si>
  <si>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</si>
  <si>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</si>
  <si>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</si>
  <si>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</si>
  <si>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</si>
  <si>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</si>
  <si>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</si>
  <si>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</si>
  <si>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</si>
  <si>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</si>
  <si>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</si>
  <si>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</si>
  <si>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</si>
  <si>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</si>
  <si>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</si>
  <si>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</si>
  <si>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</si>
  <si>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</si>
  <si>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</si>
  <si>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</si>
  <si>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</si>
  <si>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</si>
  <si>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</si>
  <si>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</si>
  <si>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</si>
  <si>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</si>
  <si>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</si>
  <si>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</si>
  <si>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</si>
  <si>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</si>
  <si>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</si>
  <si>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</si>
  <si>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</si>
  <si>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</si>
  <si>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</si>
  <si>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</si>
  <si>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</si>
  <si>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</si>
  <si>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</si>
  <si>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</si>
  <si>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</si>
  <si>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</si>
  <si>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</si>
  <si>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</si>
  <si>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</si>
  <si>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</si>
  <si>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</si>
  <si>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</si>
  <si>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</si>
  <si>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</si>
  <si>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</si>
  <si>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</si>
  <si>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</si>
  <si>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</si>
  <si>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</si>
  <si>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</si>
  <si>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</si>
  <si>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</si>
  <si>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</si>
  <si>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</si>
  <si>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</si>
  <si>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</si>
  <si>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</si>
  <si>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</si>
  <si>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</si>
  <si>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</si>
  <si>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</si>
  <si>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</si>
  <si>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</si>
  <si>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</si>
  <si>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</si>
  <si>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</si>
  <si>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</si>
  <si>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</si>
  <si>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</si>
  <si>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</si>
  <si>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</si>
  <si>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</si>
  <si>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</si>
  <si>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</si>
  <si>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</si>
  <si>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</si>
  <si>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</si>
  <si>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</si>
  <si>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</si>
  <si>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</si>
  <si>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</si>
  <si>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</si>
  <si>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</si>
  <si>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</si>
  <si>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</si>
  <si>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</si>
  <si>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</si>
  <si>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</si>
  <si>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</si>
  <si>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</si>
  <si>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</si>
  <si>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</si>
  <si>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</si>
  <si>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</si>
  <si>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</si>
  <si>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</si>
  <si>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</si>
  <si>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</si>
  <si>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</si>
  <si>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</si>
  <si>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</si>
  <si>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</si>
  <si>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</si>
  <si>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</si>
  <si>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</si>
  <si>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</si>
  <si>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</si>
  <si>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</si>
  <si>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</si>
  <si>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</si>
  <si>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</si>
  <si>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</si>
  <si>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</si>
  <si>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</si>
  <si>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</si>
  <si>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</si>
  <si>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</si>
  <si>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</si>
  <si>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</si>
  <si>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</si>
  <si>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</si>
  <si>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</si>
  <si>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</si>
  <si>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</si>
  <si>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</si>
  <si>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</si>
  <si>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</si>
  <si>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</si>
  <si>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</si>
  <si>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</si>
  <si>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</si>
  <si>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</si>
  <si>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</si>
  <si>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</si>
  <si>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</si>
  <si>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</si>
  <si>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</si>
  <si>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</si>
  <si>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</si>
  <si>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</si>
  <si>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</si>
  <si>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</si>
  <si>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</si>
  <si>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</si>
  <si>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</si>
  <si>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</si>
  <si>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</si>
  <si>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</si>
  <si>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</si>
  <si>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</si>
  <si>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</si>
  <si>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</si>
  <si>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</si>
  <si>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</si>
  <si>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</si>
  <si>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</si>
  <si>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</si>
  <si>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</si>
  <si>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</si>
  <si>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</si>
  <si>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</si>
  <si>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</si>
  <si>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</si>
  <si>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</si>
  <si>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</si>
  <si>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</si>
  <si>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</si>
  <si>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</si>
  <si>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</si>
  <si>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</si>
  <si>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</si>
  <si>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</si>
  <si>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</si>
  <si>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</si>
  <si>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</si>
  <si>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</si>
  <si>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</si>
  <si>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</si>
  <si>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</si>
  <si>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</si>
  <si>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</si>
  <si>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</si>
  <si>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</si>
  <si>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</si>
  <si>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</si>
  <si>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</si>
  <si>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</si>
  <si>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</si>
  <si>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</si>
  <si>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</si>
  <si>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</si>
  <si>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</si>
  <si>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</si>
  <si>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</si>
  <si>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</si>
  <si>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</si>
  <si>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</si>
  <si>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</si>
  <si>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</si>
  <si>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</si>
  <si>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</si>
  <si>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</si>
  <si>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</si>
  <si>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</si>
  <si>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</si>
  <si>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</si>
  <si>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</si>
  <si>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</si>
  <si>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</si>
  <si>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</si>
  <si>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</si>
  <si>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</si>
  <si>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</si>
  <si>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</si>
  <si>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</si>
  <si>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</si>
  <si>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</si>
  <si>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</si>
  <si>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</si>
  <si>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</si>
  <si>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</si>
  <si>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</si>
  <si>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</si>
  <si>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</si>
  <si>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</si>
  <si>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</si>
  <si>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</si>
  <si>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</si>
  <si>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</si>
  <si>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</si>
  <si>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</si>
  <si>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</si>
  <si>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</si>
  <si>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</si>
  <si>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</si>
  <si>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</si>
  <si>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</si>
  <si>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</si>
  <si>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</si>
  <si>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</si>
  <si>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</si>
  <si>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</si>
  <si>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</si>
  <si>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</si>
  <si>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</si>
  <si>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</si>
  <si>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</si>
  <si>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</si>
  <si>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</si>
  <si>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</si>
  <si>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</si>
  <si>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</si>
  <si>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</si>
  <si>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</si>
  <si>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</si>
  <si>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</si>
  <si>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</si>
  <si>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</si>
  <si>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</si>
  <si>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</si>
  <si>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</si>
  <si>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</si>
  <si>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</si>
  <si>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</si>
  <si>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</si>
  <si>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</si>
  <si>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</si>
  <si>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</si>
  <si>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</si>
  <si>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</si>
  <si>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</si>
  <si>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</si>
  <si>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</si>
  <si>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</si>
  <si>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</si>
  <si>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</si>
  <si>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</si>
  <si>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</si>
  <si>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</si>
  <si>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</si>
  <si>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</si>
  <si>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</si>
  <si>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</si>
  <si>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</si>
  <si>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</si>
  <si>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</si>
  <si>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</si>
  <si>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</si>
  <si>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</si>
  <si>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</si>
  <si>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</si>
  <si>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</si>
  <si>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</si>
  <si>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</si>
  <si>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</si>
  <si>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</si>
  <si>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</si>
  <si>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</si>
  <si>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</si>
  <si>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</si>
  <si>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</si>
  <si>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</si>
  <si>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</si>
  <si>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</si>
  <si>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</si>
  <si>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</si>
  <si>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</si>
  <si>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</si>
  <si>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</si>
  <si>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</si>
  <si>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</si>
  <si>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</si>
  <si>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</si>
  <si>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</si>
  <si>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</si>
  <si>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</si>
  <si>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</si>
  <si>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</si>
  <si>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</si>
  <si>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</si>
  <si>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</si>
  <si>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</si>
  <si>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</si>
  <si>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</si>
  <si>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</si>
  <si>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</si>
  <si>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</si>
  <si>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</si>
  <si>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</si>
  <si>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</si>
  <si>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</si>
  <si>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</si>
  <si>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</si>
  <si>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</si>
  <si>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</si>
  <si>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</si>
  <si>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</si>
  <si>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</si>
  <si>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</si>
  <si>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</si>
  <si>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</si>
  <si>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</si>
  <si>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</si>
  <si>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</si>
  <si>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</si>
  <si>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</si>
  <si>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</si>
  <si>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</si>
  <si>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</si>
  <si>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</si>
  <si>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</si>
  <si>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</si>
  <si>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</si>
  <si>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</si>
  <si>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</si>
  <si>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</si>
  <si>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</si>
  <si>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</si>
  <si>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</si>
  <si>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</si>
  <si>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</si>
  <si>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</si>
  <si>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</si>
  <si>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</si>
  <si>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</si>
  <si>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</si>
  <si>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</si>
  <si>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</si>
  <si>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</si>
  <si>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</si>
  <si>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</si>
  <si>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</si>
  <si>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</si>
  <si>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</si>
  <si>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</si>
  <si>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</si>
  <si>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</si>
  <si>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</si>
  <si>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</si>
  <si>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</si>
  <si>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</si>
  <si>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</si>
  <si>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</si>
  <si>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</si>
  <si>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</si>
  <si>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</si>
  <si>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</si>
  <si>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</si>
  <si>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</si>
  <si>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</si>
  <si>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</si>
  <si>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</si>
  <si>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</si>
  <si>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</si>
  <si>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</si>
  <si>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</si>
  <si>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</si>
  <si>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</si>
  <si>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</si>
  <si>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</si>
  <si>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</si>
  <si>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</si>
  <si>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</si>
  <si>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</si>
  <si>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</si>
  <si>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</si>
  <si>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</si>
  <si>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</si>
  <si>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</si>
  <si>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</si>
  <si>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</si>
  <si>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</si>
  <si>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</si>
  <si>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</si>
  <si>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</si>
  <si>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</si>
  <si>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</si>
  <si>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</si>
  <si>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</si>
  <si>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</si>
  <si>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</si>
  <si>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</si>
  <si>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</si>
  <si>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</si>
  <si>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</si>
  <si>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</si>
  <si>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</si>
  <si>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</si>
  <si>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</si>
  <si>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</si>
  <si>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</si>
  <si>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</si>
  <si>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</si>
  <si>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</si>
  <si>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</si>
  <si>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</si>
  <si>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</si>
  <si>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</si>
  <si>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</si>
  <si>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</si>
  <si>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</si>
  <si>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</si>
  <si>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</si>
  <si>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</si>
  <si>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</si>
  <si>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</si>
  <si>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</si>
  <si>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</si>
  <si>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</si>
  <si>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</si>
  <si>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</si>
  <si>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</si>
  <si>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</si>
  <si>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</si>
  <si>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</si>
  <si>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</si>
  <si>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</si>
  <si>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</si>
  <si>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</si>
  <si>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</si>
  <si>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</si>
  <si>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</si>
  <si>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</si>
  <si>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</si>
  <si>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</si>
  <si>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</si>
  <si>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</si>
  <si>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</si>
  <si>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</si>
  <si>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</si>
  <si>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</si>
  <si>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</si>
  <si>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</si>
  <si>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</si>
  <si>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</si>
  <si>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</si>
  <si>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</si>
  <si>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</si>
  <si>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</si>
  <si>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</si>
  <si>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</si>
  <si>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</si>
  <si>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</si>
  <si>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</si>
  <si>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</si>
  <si>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</si>
  <si>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</si>
  <si>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</si>
  <si>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</si>
  <si>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</si>
  <si>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</si>
  <si>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</si>
  <si>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</si>
  <si>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</si>
  <si>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</si>
  <si>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</si>
  <si>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</si>
  <si>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</si>
  <si>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</si>
  <si>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</si>
  <si>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</si>
  <si>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</si>
  <si>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</si>
  <si>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</si>
  <si>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</si>
  <si>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</si>
  <si>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</si>
  <si>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</si>
  <si>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</si>
  <si>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</si>
  <si>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</si>
  <si>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</si>
  <si>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</si>
  <si>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</si>
  <si>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</si>
  <si>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</si>
  <si>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</si>
  <si>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</si>
  <si>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</si>
  <si>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</si>
  <si>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</si>
  <si>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</si>
  <si>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</si>
  <si>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</si>
  <si>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</si>
  <si>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</si>
  <si>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</si>
  <si>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</si>
  <si>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</si>
  <si>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</si>
  <si>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</si>
  <si>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</si>
  <si>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</si>
  <si>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</si>
  <si>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</si>
  <si>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</si>
  <si>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</si>
  <si>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</si>
  <si>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</si>
  <si>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</si>
  <si>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</si>
  <si>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</si>
  <si>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</si>
  <si>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</si>
  <si>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</si>
  <si>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</si>
  <si>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</si>
  <si>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</si>
  <si>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</si>
  <si>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</si>
  <si>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</si>
  <si>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</si>
  <si>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</si>
  <si>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</si>
  <si>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</si>
  <si>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</si>
  <si>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</si>
  <si>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</si>
  <si>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</si>
  <si>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</si>
  <si>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</si>
  <si>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</si>
  <si>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</si>
  <si>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</si>
  <si>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</si>
  <si>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</si>
  <si>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</si>
  <si>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</si>
  <si>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</si>
  <si>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</si>
  <si>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</si>
  <si>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</si>
  <si>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</si>
  <si>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</si>
  <si>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</si>
  <si>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</si>
  <si>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</si>
  <si>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</si>
  <si>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</si>
  <si>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</si>
  <si>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</si>
  <si>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</si>
  <si>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</si>
  <si>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</si>
  <si>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</si>
  <si>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</si>
  <si>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</si>
  <si>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</si>
  <si>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</si>
  <si>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</si>
  <si>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</si>
  <si>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</si>
  <si>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</si>
  <si>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</si>
  <si>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</si>
  <si>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</si>
  <si>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</si>
  <si>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</si>
  <si>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</si>
  <si>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</si>
  <si>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</si>
  <si>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</si>
  <si>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</si>
  <si>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</si>
  <si>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</si>
  <si>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</si>
  <si>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</si>
  <si>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</si>
  <si>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</si>
  <si>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</si>
  <si>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</si>
  <si>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</si>
  <si>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</si>
  <si>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</si>
  <si>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</si>
  <si>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</si>
  <si>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</si>
  <si>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</si>
  <si>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</si>
  <si>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</si>
  <si>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</si>
  <si>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</si>
  <si>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</si>
  <si>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</si>
  <si>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</si>
  <si>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</si>
  <si>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</si>
  <si>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</si>
  <si>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</si>
  <si>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</si>
  <si>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</si>
  <si>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</si>
  <si>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</si>
  <si>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</si>
  <si>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</si>
  <si>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</si>
  <si>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</si>
  <si>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</si>
  <si>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</si>
  <si>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</si>
  <si>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</si>
  <si>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</si>
  <si>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</si>
  <si>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</si>
  <si>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</si>
  <si>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</si>
  <si>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</si>
  <si>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</si>
  <si>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</si>
  <si>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</si>
  <si>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</si>
  <si>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</si>
  <si>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</si>
  <si>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</si>
  <si>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</si>
  <si>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</si>
  <si>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</si>
  <si>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</si>
  <si>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</si>
  <si>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</si>
  <si>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</si>
  <si>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</si>
  <si>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</si>
  <si>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</si>
  <si>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</si>
  <si>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</si>
  <si>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</si>
  <si>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</si>
  <si>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</si>
  <si>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</si>
  <si>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</si>
  <si>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</si>
  <si>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</si>
  <si>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</si>
  <si>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</si>
  <si>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</si>
  <si>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</si>
  <si>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</si>
  <si>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</si>
  <si>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</si>
  <si>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</si>
  <si>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</si>
  <si>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</si>
  <si>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</si>
  <si>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</si>
  <si>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</si>
  <si>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</si>
  <si>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</si>
  <si>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</si>
  <si>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</si>
  <si>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</si>
  <si>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</si>
  <si>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</si>
  <si>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</si>
  <si>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</si>
  <si>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</si>
  <si>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</si>
  <si>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</si>
  <si>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</si>
  <si>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</si>
  <si>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</si>
  <si>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</si>
  <si>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</si>
  <si>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</si>
  <si>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</si>
  <si>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</si>
  <si>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</si>
  <si>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</si>
  <si>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</si>
  <si>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</si>
  <si>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</si>
  <si>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</si>
  <si>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</si>
  <si>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</si>
  <si>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</si>
  <si>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</si>
  <si>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</si>
  <si>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</si>
  <si>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</si>
  <si>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</si>
  <si>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</si>
  <si>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</si>
  <si>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</si>
  <si>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</si>
  <si>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</si>
  <si>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</si>
  <si>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</si>
  <si>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</si>
  <si>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</si>
  <si>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</si>
  <si>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</si>
  <si>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</si>
  <si>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</si>
  <si>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</si>
  <si>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</si>
  <si>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</si>
  <si>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</si>
  <si>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</si>
  <si>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</si>
  <si>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</si>
  <si>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</si>
  <si>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</si>
  <si>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</si>
  <si>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</si>
  <si>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</si>
  <si>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</si>
  <si>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</si>
  <si>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</si>
  <si>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</si>
  <si>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</si>
  <si>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</si>
  <si>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</si>
  <si>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</si>
  <si>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</si>
  <si>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</si>
  <si>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</si>
  <si>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</si>
  <si>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</si>
  <si>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</si>
  <si>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</si>
  <si>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</si>
  <si>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</si>
  <si>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</si>
  <si>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</si>
  <si>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</si>
  <si>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</si>
  <si>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</si>
  <si>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</si>
  <si>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</si>
  <si>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</si>
  <si>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</si>
  <si>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</si>
  <si>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</si>
  <si>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</si>
  <si>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</si>
  <si>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</si>
  <si>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</si>
  <si>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</si>
  <si>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</si>
  <si>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</si>
  <si>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</si>
  <si>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</si>
  <si>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</si>
  <si>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</si>
  <si>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</si>
  <si>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</si>
  <si>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</si>
  <si>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</si>
  <si>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</si>
  <si>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</si>
  <si>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</si>
  <si>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</si>
  <si>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</si>
  <si>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</si>
  <si>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</si>
  <si>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</si>
  <si>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</si>
  <si>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</si>
  <si>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</si>
  <si>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</si>
  <si>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</si>
  <si>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</si>
  <si>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</si>
  <si>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</si>
  <si>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</si>
  <si>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</si>
  <si>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</si>
  <si>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</si>
  <si>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</si>
  <si>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</si>
  <si>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</si>
  <si>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</si>
  <si>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</si>
  <si>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</si>
  <si>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</si>
  <si>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</si>
  <si>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</si>
  <si>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</si>
  <si>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</si>
  <si>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</si>
  <si>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</si>
  <si>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</si>
  <si>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</si>
  <si>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</si>
  <si>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</si>
  <si>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</si>
  <si>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</si>
  <si>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</si>
  <si>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</si>
  <si>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</si>
  <si>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</si>
  <si>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</si>
  <si>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</si>
  <si>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</si>
  <si>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</si>
  <si>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</si>
  <si>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</si>
  <si>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</si>
  <si>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</si>
  <si>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</si>
  <si>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</si>
  <si>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</si>
  <si>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</si>
  <si>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</si>
  <si>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</si>
  <si>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</si>
  <si>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</si>
  <si>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</si>
  <si>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</si>
  <si>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</si>
  <si>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</si>
  <si>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</si>
  <si>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</si>
  <si>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</si>
  <si>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</si>
  <si>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</si>
  <si>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</si>
  <si>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</si>
  <si>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</si>
  <si>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</si>
  <si>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</si>
  <si>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</si>
  <si>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</si>
  <si>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</si>
  <si>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</si>
  <si>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</si>
  <si>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</si>
  <si>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</si>
  <si>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</si>
  <si>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</si>
  <si>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</si>
  <si>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</si>
  <si>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</si>
  <si>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</si>
  <si>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</si>
  <si>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</si>
  <si>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</si>
  <si>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</si>
  <si>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</si>
  <si>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</si>
  <si>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</si>
  <si>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</si>
  <si>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</si>
  <si>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</si>
  <si>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</si>
  <si>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</si>
  <si>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</si>
  <si>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</si>
  <si>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</si>
  <si>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</si>
  <si>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</si>
  <si>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</si>
  <si>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</si>
  <si>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</si>
  <si>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</si>
  <si>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</si>
  <si>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</si>
  <si>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</si>
  <si>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</si>
  <si>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</si>
  <si>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</si>
  <si>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</si>
  <si>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</si>
  <si>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</si>
  <si>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</si>
  <si>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</si>
  <si>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</si>
  <si>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</si>
  <si>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</si>
  <si>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</si>
  <si>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</si>
  <si>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</si>
  <si>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</si>
  <si>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</si>
  <si>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</si>
  <si>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</si>
  <si>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</si>
  <si>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</si>
  <si>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</si>
  <si>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</si>
  <si>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</si>
  <si>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</si>
  <si>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</si>
  <si>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</si>
  <si>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</si>
  <si>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</si>
  <si>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</si>
  <si>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</si>
  <si>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</si>
  <si>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</si>
  <si>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</si>
  <si>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</si>
  <si>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</si>
  <si>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</si>
  <si>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</si>
  <si>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</si>
  <si>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</si>
  <si>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</si>
  <si>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</si>
  <si>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</si>
  <si>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</si>
  <si>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</si>
  <si>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</si>
  <si>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</si>
  <si>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</si>
  <si>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</si>
  <si>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</si>
  <si>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</si>
  <si>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</si>
  <si>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</si>
  <si>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</si>
  <si>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</si>
  <si>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</si>
  <si>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</si>
  <si>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</si>
  <si>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</si>
  <si>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</si>
  <si>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</si>
  <si>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</si>
  <si>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</si>
  <si>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</si>
  <si>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</si>
  <si>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</si>
  <si>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</si>
  <si>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</si>
  <si>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</si>
  <si>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</si>
  <si>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</si>
  <si>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</si>
  <si>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</si>
  <si>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</si>
  <si>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</si>
  <si>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</si>
  <si>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</si>
  <si>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</si>
  <si>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</si>
  <si>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</si>
  <si>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</si>
  <si>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</si>
  <si>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</si>
  <si>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</si>
  <si>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</si>
  <si>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</si>
  <si>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</si>
  <si>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</si>
  <si>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</si>
  <si>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</si>
  <si>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</si>
  <si>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</si>
  <si>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</si>
  <si>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</si>
  <si>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</si>
  <si>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</si>
  <si>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</si>
  <si>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</si>
  <si>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</si>
  <si>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</si>
  <si>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</si>
  <si>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</si>
  <si>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</si>
  <si>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</si>
  <si>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</si>
  <si>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</si>
  <si>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</si>
  <si>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</si>
  <si>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</si>
  <si>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</si>
  <si>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</si>
  <si>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</si>
  <si>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</si>
  <si>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</si>
  <si>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</si>
  <si>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</si>
  <si>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</si>
  <si>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</si>
  <si>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</si>
  <si>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</si>
  <si>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</si>
  <si>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</si>
  <si>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</si>
  <si>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</si>
  <si>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</si>
  <si>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</si>
  <si>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</si>
  <si>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</si>
  <si>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</si>
  <si>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</si>
  <si>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</si>
  <si>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</si>
  <si>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</si>
  <si>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</si>
  <si>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</si>
  <si>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</si>
  <si>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</si>
  <si>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</si>
  <si>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</si>
  <si>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</si>
  <si>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</si>
  <si>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</si>
  <si>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</si>
  <si>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</si>
  <si>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</si>
  <si>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</si>
  <si>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</si>
  <si>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</si>
  <si>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</si>
  <si>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</si>
  <si>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</si>
  <si>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</si>
  <si>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</si>
  <si>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</si>
  <si>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</si>
  <si>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</si>
  <si>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</si>
  <si>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</si>
  <si>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</si>
  <si>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</si>
  <si>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</si>
  <si>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</si>
  <si>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</si>
  <si>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</si>
  <si>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</si>
  <si>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</si>
  <si>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</si>
  <si>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</si>
  <si>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</si>
  <si>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</si>
  <si>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</si>
  <si>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</si>
  <si>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</si>
  <si>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</si>
  <si>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</si>
  <si>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</si>
  <si>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</si>
  <si>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</si>
  <si>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</si>
  <si>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</si>
  <si>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</si>
  <si>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</si>
  <si>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</si>
  <si>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</si>
  <si>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</si>
  <si>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</si>
  <si>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</si>
  <si>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</si>
  <si>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</si>
  <si>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</si>
  <si>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</si>
  <si>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</si>
  <si>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</si>
  <si>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</si>
  <si>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</si>
  <si>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</si>
  <si>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</si>
  <si>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</si>
  <si>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</si>
  <si>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</si>
  <si>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</si>
  <si>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</si>
  <si>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</si>
  <si>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</si>
  <si>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</si>
  <si>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</si>
  <si>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</si>
  <si>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</si>
  <si>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</si>
  <si>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</si>
  <si>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</si>
  <si>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</si>
  <si>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</si>
  <si>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</si>
  <si>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</si>
  <si>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</si>
  <si>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</si>
  <si>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</si>
  <si>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</si>
  <si>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</si>
  <si>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</si>
  <si>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</si>
  <si>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</si>
  <si>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</si>
  <si>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</si>
  <si>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</si>
  <si>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</si>
  <si>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</si>
  <si>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</si>
  <si>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</si>
  <si>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</si>
  <si>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</si>
  <si>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</si>
  <si>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</si>
  <si>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</si>
  <si>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</si>
  <si>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</si>
  <si>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</si>
  <si>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</si>
  <si>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</si>
  <si>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</si>
  <si>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</si>
  <si>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</si>
  <si>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</si>
  <si>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</si>
  <si>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</si>
  <si>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</si>
  <si>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</si>
  <si>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</si>
  <si>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</si>
  <si>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</si>
  <si>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</si>
  <si>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</si>
  <si>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</si>
  <si>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</si>
  <si>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</si>
  <si>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</si>
  <si>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</si>
  <si>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</si>
  <si>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</si>
  <si>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</si>
  <si>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</si>
  <si>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</si>
  <si>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</si>
  <si>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</si>
  <si>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</si>
  <si>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</si>
  <si>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</si>
  <si>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</si>
  <si>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</si>
  <si>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</si>
  <si>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</si>
  <si>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</si>
  <si>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</si>
  <si>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</si>
  <si>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</si>
  <si>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</si>
  <si>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</si>
  <si>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</si>
  <si>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</si>
  <si>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</si>
  <si>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</si>
  <si>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</si>
  <si>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</si>
  <si>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</si>
  <si>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</si>
  <si>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</si>
  <si>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</si>
  <si>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</si>
  <si>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</si>
  <si>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</si>
  <si>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</si>
  <si>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</si>
  <si>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</si>
  <si>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</si>
  <si>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</si>
  <si>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</si>
  <si>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</si>
  <si>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</si>
  <si>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</si>
  <si>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</si>
  <si>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</si>
  <si>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</si>
  <si>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</si>
  <si>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</si>
  <si>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</si>
  <si>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</si>
  <si>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</si>
  <si>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</si>
  <si>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</si>
  <si>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</si>
  <si>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</si>
  <si>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</si>
  <si>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</si>
  <si>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</si>
  <si>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</si>
  <si>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</si>
  <si>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</si>
  <si>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</si>
  <si>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</si>
  <si>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</si>
  <si>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</si>
  <si>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</si>
  <si>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</si>
  <si>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</si>
  <si>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</si>
  <si>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</si>
  <si>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</si>
  <si>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</si>
  <si>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</si>
  <si>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</si>
  <si>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</si>
  <si>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</si>
  <si>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</si>
  <si>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</si>
  <si>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</si>
  <si>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</si>
  <si>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</si>
  <si>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</si>
  <si>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</si>
  <si>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</si>
  <si>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</si>
  <si>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</si>
  <si>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</si>
  <si>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</si>
  <si>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</si>
  <si>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</si>
  <si>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</si>
  <si>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</si>
  <si>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</si>
  <si>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</si>
  <si>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</si>
  <si>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</si>
  <si>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</si>
  <si>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</si>
  <si>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</si>
  <si>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</si>
  <si>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</si>
  <si>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</si>
  <si>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</si>
  <si>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</si>
  <si>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</si>
  <si>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</si>
  <si>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</si>
  <si>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</si>
  <si>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</si>
  <si>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</si>
  <si>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</si>
  <si>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</si>
  <si>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</si>
  <si>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</si>
  <si>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</si>
  <si>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</si>
  <si>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</si>
  <si>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</si>
  <si>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</si>
  <si>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</si>
  <si>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</si>
  <si>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</si>
  <si>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</si>
  <si>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</si>
  <si>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</si>
  <si>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</si>
  <si>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</si>
  <si>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</si>
  <si>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</si>
  <si>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</si>
  <si>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</si>
  <si>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</si>
  <si>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</si>
  <si>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</si>
  <si>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</si>
  <si>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</si>
  <si>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</si>
  <si>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</si>
  <si>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</si>
  <si>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</si>
  <si>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</si>
  <si>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</si>
  <si>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</si>
  <si>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</si>
  <si>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</si>
  <si>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</si>
  <si>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</si>
  <si>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</si>
  <si>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</si>
  <si>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</si>
  <si>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</si>
  <si>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</si>
  <si>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</si>
  <si>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</si>
  <si>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</si>
  <si>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</si>
  <si>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</si>
  <si>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</si>
  <si>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</si>
  <si>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</si>
  <si>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</si>
  <si>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</si>
  <si>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</si>
  <si>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</si>
  <si>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</si>
  <si>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</si>
  <si>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</si>
  <si>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</si>
  <si>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</si>
  <si>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</si>
  <si>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</si>
  <si>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</si>
  <si>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</si>
  <si>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</si>
  <si>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</si>
  <si>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</si>
  <si>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</si>
  <si>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</si>
  <si>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</si>
  <si>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</si>
  <si>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</si>
  <si>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</si>
  <si>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</si>
  <si>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</si>
  <si>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</si>
  <si>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</si>
  <si>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</si>
  <si>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</si>
  <si>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</si>
  <si>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</si>
  <si>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</si>
  <si>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</si>
  <si>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</si>
  <si>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</si>
  <si>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</si>
  <si>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</si>
  <si>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</si>
  <si>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</si>
  <si>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</si>
  <si>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</si>
  <si>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</si>
  <si>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</si>
  <si>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</si>
  <si>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</si>
  <si>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</si>
  <si>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</si>
  <si>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</si>
  <si>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</si>
  <si>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</si>
  <si>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</si>
  <si>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</si>
  <si>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</si>
  <si>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</si>
  <si>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</si>
  <si>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</si>
  <si>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</si>
  <si>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</si>
  <si>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</si>
  <si>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</si>
  <si>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</si>
  <si>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</si>
  <si>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</si>
  <si>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</si>
  <si>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</si>
  <si>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</si>
  <si>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</si>
  <si>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</si>
  <si>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</si>
  <si>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</si>
  <si>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</si>
  <si>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</si>
  <si>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</si>
  <si>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</si>
  <si>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</si>
  <si>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</si>
  <si>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</si>
  <si>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</si>
  <si>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</si>
  <si>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</si>
  <si>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</si>
  <si>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</si>
  <si>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</si>
  <si>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</si>
  <si>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</si>
  <si>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</si>
  <si>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</si>
  <si>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</si>
  <si>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</si>
  <si>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</si>
  <si>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</si>
  <si>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</si>
  <si>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</si>
  <si>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</si>
  <si>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</si>
  <si>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</si>
  <si>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</si>
  <si>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</si>
  <si>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</si>
  <si>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</si>
  <si>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</si>
  <si>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</si>
  <si>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</si>
  <si>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</si>
  <si>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</si>
  <si>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</si>
  <si>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</si>
  <si>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</si>
  <si>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</si>
  <si>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</si>
  <si>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</si>
  <si>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</si>
  <si>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</si>
  <si>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</si>
  <si>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</si>
  <si>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</si>
  <si>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</si>
  <si>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</si>
  <si>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</si>
  <si>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</si>
  <si>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</si>
  <si>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</si>
  <si>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</si>
  <si>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</si>
  <si>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</si>
  <si>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</si>
  <si>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</si>
  <si>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</si>
  <si>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</si>
  <si>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</si>
  <si>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</si>
  <si>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</si>
  <si>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</si>
  <si>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</si>
  <si>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</si>
  <si>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</si>
  <si>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</si>
  <si>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</si>
  <si>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</si>
  <si>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</si>
  <si>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</si>
  <si>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</si>
  <si>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</si>
  <si>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</si>
  <si>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</si>
  <si>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</si>
  <si>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</si>
  <si>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</si>
  <si>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</si>
  <si>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</si>
  <si>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</si>
  <si>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</si>
  <si>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</si>
  <si>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</si>
  <si>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</si>
  <si>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</si>
  <si>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</si>
  <si>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</si>
  <si>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</si>
  <si>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</si>
  <si>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</si>
  <si>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</si>
  <si>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</si>
  <si>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</si>
  <si>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</si>
  <si>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</si>
  <si>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</si>
  <si>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</si>
  <si>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</si>
  <si>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</si>
  <si>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</si>
  <si>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</si>
  <si>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</si>
  <si>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</si>
  <si>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</si>
  <si>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</si>
  <si>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</si>
  <si>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</si>
  <si>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</si>
  <si>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</si>
  <si>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</si>
  <si>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</si>
  <si>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Attrition Rate</t>
  </si>
  <si>
    <t>Average of Job Satisfaction</t>
  </si>
  <si>
    <t>Rating</t>
  </si>
  <si>
    <t>Balance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</si>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</sst>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3" x14ac:knownFonts="1">
    <font>
      <sz val="12"/>
      <color theme="1"/>
      <name val="Calibri"/>
      <scheme val="minor"/>
    </font>
    <font>
      <sz val="12"/>
      <color theme="1"/>
      <name val="Calibri"/>
      <scheme val="minor"/>
    </font>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7">
    <xf numFmtId="0" fontId="0" fillId="0" borderId="0" xfId="0" applyFont="1" applyAlignment="1"/>
    <xf numFmtId="0" fontId="1" fillId="0" borderId="0" xfId="0" applyFont="1"/>
    <xf numFmtId="0" fontId="0" fillId="0" borderId="1" xfId="0" applyFont="1" applyBorder="1" applyAlignment="1"/>
    <xf numFmtId="0" fontId="0" fillId="0" borderId="2" xfId="0" applyFont="1" applyBorder="1" applyAlignment="1"/>
    <xf numFmtId="0" fontId="0" fillId="0" borderId="4" xfId="0" applyFont="1" applyBorder="1" applyAlignment="1"/>
    <xf numFmtId="0" fontId="0" fillId="0" borderId="5" xfId="0" applyNumberFormat="1" applyFont="1" applyBorder="1" applyAlignment="1"/>
    <xf numFmtId="0" fontId="0" fillId="0" borderId="6" xfId="0" applyNumberFormat="1" applyFont="1" applyBorder="1" applyAlignment="1"/>
    <xf numFmtId="0" fontId="0" fillId="0" borderId="7" xfId="0" applyFont="1" applyBorder="1" applyAlignment="1"/>
    <xf numFmtId="0" fontId="0" fillId="0" borderId="8" xfId="0" applyNumberFormat="1" applyFont="1" applyBorder="1" applyAlignment="1"/>
    <xf numFmtId="10" fontId="0" fillId="0" borderId="0" xfId="1" applyNumberFormat="1" applyFont="1" applyAlignment="1"/>
    <xf numFmtId="164" fontId="0" fillId="0" borderId="0" xfId="0" applyNumberFormat="1" applyFont="1" applyAlignment="1"/>
    <xf numFmtId="1" fontId="0" fillId="0" borderId="0" xfId="0" applyNumberFormat="1" applyFont="1" applyAlignment="1"/>
    <xf numFmtId="0" fontId="0" fillId="2" borderId="0" xfId="0" applyFont="1" applyFill="1" applyAlignment="1"/>
    <xf numFmtId="164" fontId="0" fillId="0" borderId="3" xfId="0" applyNumberFormat="1" applyFont="1" applyBorder="1" applyAlignment="1"/>
    <xf numFmtId="0" fontId="2" fillId="0" borderId="0" xfId="0" applyFont="1" applyAlignment="1"/>
    <xf numFmtId="0" fontId="0" fillId="0" borderId="1" xfId="0" pivotButton="1" applyFont="1" applyBorder="1" applyAlignment="1"/>
    <xf numFmtId="0" fontId="0" fillId="0" borderId="1" xfId="0" applyFont="1" applyBorder="1" applyAlignment="1">
      <alignment horizontal="left"/>
    </xf>
    <xf numFmtId="0" fontId="0" fillId="0" borderId="2" xfId="0" applyNumberFormat="1" applyFont="1" applyBorder="1" applyAlignment="1"/>
    <xf numFmtId="0" fontId="0" fillId="0" borderId="9" xfId="0" applyFont="1" applyBorder="1" applyAlignment="1">
      <alignment horizontal="left"/>
    </xf>
    <xf numFmtId="0" fontId="0" fillId="0" borderId="10" xfId="0" applyNumberFormat="1" applyFont="1" applyBorder="1" applyAlignment="1"/>
    <xf numFmtId="0" fontId="0" fillId="0" borderId="5" xfId="0" applyFont="1" applyBorder="1" applyAlignment="1">
      <alignment horizontal="left"/>
    </xf>
    <xf numFmtId="0" fontId="0" fillId="0" borderId="3" xfId="0" applyNumberFormat="1" applyFont="1" applyBorder="1" applyAlignment="1"/>
    <xf numFmtId="0" fontId="0" fillId="0" borderId="0" xfId="0" applyFont="1" applyFill="1" applyBorder="1" applyAlignment="1">
      <alignment horizontal="left"/>
    </xf>
    <xf numFmtId="9" fontId="0" fillId="0" borderId="0" xfId="1" applyFont="1" applyAlignment="1"/>
    <xf numFmtId="10" fontId="0" fillId="0" borderId="2" xfId="0" applyNumberFormat="1" applyFont="1" applyBorder="1" applyAlignment="1"/>
    <xf numFmtId="10" fontId="0" fillId="0" borderId="10" xfId="0" applyNumberFormat="1" applyFont="1" applyBorder="1" applyAlignment="1"/>
    <xf numFmtId="10" fontId="0" fillId="0" borderId="3" xfId="0" applyNumberFormat="1" applyFont="1" applyBorder="1" applyAlignment="1"/>
  </cellXfs>
  <cellStyles count="2">
    <cellStyle name="Normal" xfId="0" builtinId="0"/>
    <cellStyle name="Percent" xfId="1" builtinId="5"/>
  </cellStyles>
  <dxfs count="11">
    <dxf>
      <numFmt numFmtId="164" formatCode="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tableStyleElement type="headerRow" dxfId="10"/>
      <tableStyleElement type="firstRowStripe" dxfId="9"/>
      <tableStyleElement type="secondRowStripe" dxfId="8"/>
    </tableStyle>
  </tableStyles>
  <colors>
    <mruColors>
      <color rgb="FFCC3399"/>
      <color rgb="FFF6927E"/>
      <color rgb="FF7798D3"/>
      <color rgb="FF8522BC"/>
      <color rgb="FF7A9AD4"/>
      <color rgb="FFD3A2EE"/>
      <color rgb="FFEDE6D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C8-4D68-B0B7-8F327AA4638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C8-4D68-B0B7-8F327AA4638E}"/>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0-B71A-4F09-B5F3-DF017B44294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803149606299212E-2"/>
          <c:y val="0.13467592592592592"/>
          <c:w val="0.89971084864391948"/>
          <c:h val="0.72088764946048411"/>
        </c:manualLayout>
      </c:layout>
      <c:barChart>
        <c:barDir val="bar"/>
        <c:grouping val="stacked"/>
        <c:varyColors val="0"/>
        <c:ser>
          <c:idx val="0"/>
          <c:order val="0"/>
          <c:spPr>
            <a:solidFill>
              <a:schemeClr val="accent2">
                <a:lumMod val="75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B8A0-41B9-B34B-584D29D979FA}"/>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B8A0-41B9-B34B-584D29D979FA}"/>
            </c:ext>
          </c:extLst>
        </c:ser>
        <c:dLbls>
          <c:showLegendKey val="0"/>
          <c:showVal val="0"/>
          <c:showCatName val="0"/>
          <c:showSerName val="0"/>
          <c:showPercent val="0"/>
          <c:showBubbleSize val="0"/>
        </c:dLbls>
        <c:gapWidth val="150"/>
        <c:overlap val="100"/>
        <c:axId val="891532287"/>
        <c:axId val="891541855"/>
      </c:barChart>
      <c:catAx>
        <c:axId val="891532287"/>
        <c:scaling>
          <c:orientation val="minMax"/>
        </c:scaling>
        <c:delete val="1"/>
        <c:axPos val="l"/>
        <c:majorTickMark val="none"/>
        <c:minorTickMark val="none"/>
        <c:tickLblPos val="nextTo"/>
        <c:crossAx val="891541855"/>
        <c:crosses val="autoZero"/>
        <c:auto val="1"/>
        <c:lblAlgn val="ctr"/>
        <c:lblOffset val="100"/>
        <c:noMultiLvlLbl val="0"/>
      </c:catAx>
      <c:valAx>
        <c:axId val="891541855"/>
        <c:scaling>
          <c:orientation val="minMax"/>
          <c:max val="4"/>
          <c:min val="0"/>
        </c:scaling>
        <c:delete val="1"/>
        <c:axPos val="b"/>
        <c:numFmt formatCode="0.0" sourceLinked="1"/>
        <c:majorTickMark val="none"/>
        <c:minorTickMark val="none"/>
        <c:tickLblPos val="nextTo"/>
        <c:crossAx val="891532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4E4-4798-8B85-C8D7C4D4AA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4E4-4798-8B85-C8D7C4D4AA5A}"/>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0-4EA1-4C8B-BADD-374FBA3E707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657-42F2-8278-DE89C9EB59A5}"/>
            </c:ext>
          </c:extLst>
        </c:ser>
        <c:dLbls>
          <c:dLblPos val="outEnd"/>
          <c:showLegendKey val="0"/>
          <c:showVal val="1"/>
          <c:showCatName val="0"/>
          <c:showSerName val="0"/>
          <c:showPercent val="0"/>
          <c:showBubbleSize val="0"/>
        </c:dLbls>
        <c:gapWidth val="182"/>
        <c:axId val="1875385424"/>
        <c:axId val="1875383344"/>
      </c:barChart>
      <c:catAx>
        <c:axId val="1875385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383344"/>
        <c:crosses val="autoZero"/>
        <c:auto val="1"/>
        <c:lblAlgn val="ctr"/>
        <c:lblOffset val="100"/>
        <c:noMultiLvlLbl val="0"/>
      </c:catAx>
      <c:valAx>
        <c:axId val="1875383344"/>
        <c:scaling>
          <c:orientation val="minMax"/>
        </c:scaling>
        <c:delete val="1"/>
        <c:axPos val="b"/>
        <c:numFmt formatCode="General" sourceLinked="1"/>
        <c:majorTickMark val="out"/>
        <c:minorTickMark val="none"/>
        <c:tickLblPos val="nextTo"/>
        <c:crossAx val="1875385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59F-4385-978C-FFC9ECCA2EC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59F-4385-978C-FFC9ECCA2EC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59F-4385-978C-FFC9ECCA2EC0}"/>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A03F-46B1-93EF-F4E722D6496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grp!Attrition by Age grp</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'Attrition by Age grp'!$B$3</c:f>
              <c:strCache>
                <c:ptCount val="1"/>
                <c:pt idx="0">
                  <c:v>Total</c:v>
                </c:pt>
              </c:strCache>
            </c:strRef>
          </c:tx>
          <c:spPr>
            <a:solidFill>
              <a:schemeClr val="accent1"/>
            </a:solidFill>
            <a:ln>
              <a:noFill/>
            </a:ln>
            <a:effectLst/>
          </c:spPr>
          <c:invertIfNegative val="0"/>
          <c:cat>
            <c:strRef>
              <c:f>'Attrition by Age grp'!$A$4:$A$9</c:f>
              <c:strCache>
                <c:ptCount val="5"/>
                <c:pt idx="0">
                  <c:v>25 - 34</c:v>
                </c:pt>
                <c:pt idx="1">
                  <c:v>35 - 44</c:v>
                </c:pt>
                <c:pt idx="2">
                  <c:v>Under 25</c:v>
                </c:pt>
                <c:pt idx="3">
                  <c:v>45 - 54</c:v>
                </c:pt>
                <c:pt idx="4">
                  <c:v>Over 55</c:v>
                </c:pt>
              </c:strCache>
            </c:strRef>
          </c:cat>
          <c:val>
            <c:numRef>
              <c:f>'Attrition by Age grp'!$B$4:$B$9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977-4D0D-93F2-1ABFB174C9B8}"/>
            </c:ext>
          </c:extLst>
        </c:ser>
        <c:dLbls>
          <c:showLegendKey val="0"/>
          <c:showVal val="0"/>
          <c:showCatName val="0"/>
          <c:showSerName val="0"/>
          <c:showPercent val="0"/>
          <c:showBubbleSize val="0"/>
        </c:dLbls>
        <c:gapWidth val="219"/>
        <c:overlap val="-27"/>
        <c:axId val="1878210416"/>
        <c:axId val="1878203344"/>
      </c:barChart>
      <c:catAx>
        <c:axId val="187821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03344"/>
        <c:crosses val="autoZero"/>
        <c:auto val="1"/>
        <c:lblAlgn val="ctr"/>
        <c:lblOffset val="100"/>
        <c:noMultiLvlLbl val="0"/>
      </c:catAx>
      <c:valAx>
        <c:axId val="1878203344"/>
        <c:scaling>
          <c:orientation val="minMax"/>
        </c:scaling>
        <c:delete val="1"/>
        <c:axPos val="l"/>
        <c:numFmt formatCode="General" sourceLinked="1"/>
        <c:majorTickMark val="none"/>
        <c:minorTickMark val="none"/>
        <c:tickLblPos val="nextTo"/>
        <c:crossAx val="18782104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'Marital Status'!$D$4:$D$6</c:f>
              <c:strCache>
                <c:ptCount val="3"/>
                <c:pt idx="0">
                  <c:v>Divorced</c:v>
                </c:pt>
                <c:pt idx="1">
                  <c:v>Married</c:v>
                </c:pt>
                <c:pt idx="2">
                  <c:v>Single</c:v>
                </c:pt>
              </c:strCache>
            </c:strRef>
          </c:cat>
          <c:val>
            <c:numRef>
              <c:f>'Marital Status'!$E$4:$E$6</c:f>
              <c:numCache>
                <c:formatCode>General</c:formatCode>
                <c:ptCount val="3"/>
                <c:pt idx="0">
                  <c:v>327</c:v>
                </c:pt>
                <c:pt idx="1">
                  <c:v>673</c:v>
                </c:pt>
                <c:pt idx="2">
                  <c:v>470</c:v>
                </c:pt>
              </c:numCache>
            </c:numRef>
          </c:val>
          <c:extLst>
            <c:ext xmlns:c16="http://schemas.microsoft.com/office/drawing/2014/chart" uri="{C3380CC4-5D6E-409C-BE32-E72D297353CC}">
              <c16:uniqueId val="{00000000-E4C8-42EF-AE1D-D13C90D4A355}"/>
            </c:ext>
          </c:extLst>
        </c:ser>
        <c:dLbls>
          <c:dLblPos val="inEnd"/>
          <c:showLegendKey val="0"/>
          <c:showVal val="1"/>
          <c:showCatName val="0"/>
          <c:showSerName val="0"/>
          <c:showPercent val="0"/>
          <c:showBubbleSize val="0"/>
        </c:dLbls>
        <c:gapWidth val="20"/>
        <c:axId val="1878222896"/>
        <c:axId val="1878225808"/>
      </c:barChart>
      <c:catAx>
        <c:axId val="18782228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25808"/>
        <c:crosses val="autoZero"/>
        <c:auto val="1"/>
        <c:lblAlgn val="ctr"/>
        <c:lblOffset val="100"/>
        <c:noMultiLvlLbl val="0"/>
      </c:catAx>
      <c:valAx>
        <c:axId val="1878225808"/>
        <c:scaling>
          <c:orientation val="minMax"/>
        </c:scaling>
        <c:delete val="1"/>
        <c:axPos val="t"/>
        <c:numFmt formatCode="General" sourceLinked="1"/>
        <c:majorTickMark val="none"/>
        <c:minorTickMark val="none"/>
        <c:tickLblPos val="nextTo"/>
        <c:crossAx val="1878222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73545314523978"/>
          <c:y val="0.10306422841352003"/>
          <c:w val="0.39851426774624638"/>
          <c:h val="0.71874806665154356"/>
        </c:manualLayout>
      </c:layout>
      <c:doughnutChart>
        <c:varyColors val="1"/>
        <c:ser>
          <c:idx val="0"/>
          <c:order val="0"/>
          <c:spPr>
            <a:ln>
              <a:noFill/>
            </a:ln>
          </c:spPr>
          <c:dPt>
            <c:idx val="0"/>
            <c:bubble3D val="0"/>
            <c:spPr>
              <a:solidFill>
                <a:schemeClr val="accent6">
                  <a:lumMod val="75000"/>
                </a:schemeClr>
              </a:solidFill>
              <a:ln w="0" cmpd="sng">
                <a:noFill/>
              </a:ln>
              <a:effectLst/>
            </c:spPr>
            <c:extLst>
              <c:ext xmlns:c16="http://schemas.microsoft.com/office/drawing/2014/chart" uri="{C3380CC4-5D6E-409C-BE32-E72D297353CC}">
                <c16:uniqueId val="{00000001-69DD-4C95-B909-E5224CFF688A}"/>
              </c:ext>
            </c:extLst>
          </c:dPt>
          <c:dPt>
            <c:idx val="1"/>
            <c:bubble3D val="0"/>
            <c:spPr>
              <a:noFill/>
              <a:ln w="19050">
                <a:noFill/>
              </a:ln>
              <a:effectLst/>
            </c:spPr>
            <c:extLst>
              <c:ext xmlns:c16="http://schemas.microsoft.com/office/drawing/2014/chart" uri="{C3380CC4-5D6E-409C-BE32-E72D297353CC}">
                <c16:uniqueId val="{00000003-69DD-4C95-B909-E5224CFF688A}"/>
              </c:ext>
            </c:extLst>
          </c:dPt>
          <c:val>
            <c:numRef>
              <c:f>Rating!$C$7:$C$8</c:f>
              <c:numCache>
                <c:formatCode>General</c:formatCode>
                <c:ptCount val="2"/>
                <c:pt idx="0">
                  <c:v>0.65663265306122454</c:v>
                </c:pt>
                <c:pt idx="1">
                  <c:v>0.34336734693877546</c:v>
                </c:pt>
              </c:numCache>
            </c:numRef>
          </c:val>
          <c:extLst>
            <c:ext xmlns:c16="http://schemas.microsoft.com/office/drawing/2014/chart" uri="{C3380CC4-5D6E-409C-BE32-E72D297353CC}">
              <c16:uniqueId val="{00000004-69DD-4C95-B909-E5224CFF688A}"/>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803149606299212E-2"/>
          <c:y val="0.13467592592592592"/>
          <c:w val="0.89971084864391948"/>
          <c:h val="0.72088764946048411"/>
        </c:manualLayout>
      </c:layout>
      <c:barChart>
        <c:barDir val="bar"/>
        <c:grouping val="stacked"/>
        <c:varyColors val="0"/>
        <c:ser>
          <c:idx val="0"/>
          <c:order val="0"/>
          <c:spPr>
            <a:solidFill>
              <a:schemeClr val="accent2">
                <a:lumMod val="75000"/>
              </a:schemeClr>
            </a:solidFill>
            <a:ln>
              <a:noFill/>
            </a:ln>
            <a:effectLst/>
          </c:spPr>
          <c:invertIfNegative val="0"/>
          <c:val>
            <c:numRef>
              <c:f>Rating!$B$7</c:f>
              <c:numCache>
                <c:formatCode>0.0</c:formatCode>
                <c:ptCount val="1"/>
                <c:pt idx="0">
                  <c:v>2.6265306122448981</c:v>
                </c:pt>
              </c:numCache>
            </c:numRef>
          </c:val>
          <c:extLst>
            <c:ext xmlns:c16="http://schemas.microsoft.com/office/drawing/2014/chart" uri="{C3380CC4-5D6E-409C-BE32-E72D297353CC}">
              <c16:uniqueId val="{00000000-B7C7-4D9E-ABA1-9754C42C7CDC}"/>
            </c:ext>
          </c:extLst>
        </c:ser>
        <c:ser>
          <c:idx val="1"/>
          <c:order val="1"/>
          <c:spPr>
            <a:solidFill>
              <a:schemeClr val="bg1"/>
            </a:solidFill>
            <a:ln>
              <a:noFill/>
            </a:ln>
            <a:effectLst/>
          </c:spPr>
          <c:invertIfNegative val="0"/>
          <c:val>
            <c:numRef>
              <c:f>Rating!$B$8</c:f>
              <c:numCache>
                <c:formatCode>0.0</c:formatCode>
                <c:ptCount val="1"/>
                <c:pt idx="0">
                  <c:v>1.3734693877551019</c:v>
                </c:pt>
              </c:numCache>
            </c:numRef>
          </c:val>
          <c:extLst>
            <c:ext xmlns:c16="http://schemas.microsoft.com/office/drawing/2014/chart" uri="{C3380CC4-5D6E-409C-BE32-E72D297353CC}">
              <c16:uniqueId val="{00000001-B7C7-4D9E-ABA1-9754C42C7CDC}"/>
            </c:ext>
          </c:extLst>
        </c:ser>
        <c:dLbls>
          <c:showLegendKey val="0"/>
          <c:showVal val="0"/>
          <c:showCatName val="0"/>
          <c:showSerName val="0"/>
          <c:showPercent val="0"/>
          <c:showBubbleSize val="0"/>
        </c:dLbls>
        <c:gapWidth val="0"/>
        <c:overlap val="100"/>
        <c:axId val="891532287"/>
        <c:axId val="891541855"/>
      </c:barChart>
      <c:catAx>
        <c:axId val="891532287"/>
        <c:scaling>
          <c:orientation val="minMax"/>
        </c:scaling>
        <c:delete val="1"/>
        <c:axPos val="l"/>
        <c:majorTickMark val="none"/>
        <c:minorTickMark val="none"/>
        <c:tickLblPos val="nextTo"/>
        <c:crossAx val="891541855"/>
        <c:crosses val="autoZero"/>
        <c:auto val="1"/>
        <c:lblAlgn val="ctr"/>
        <c:lblOffset val="100"/>
        <c:noMultiLvlLbl val="0"/>
      </c:catAx>
      <c:valAx>
        <c:axId val="891541855"/>
        <c:scaling>
          <c:orientation val="minMax"/>
          <c:max val="4"/>
          <c:min val="0"/>
        </c:scaling>
        <c:delete val="1"/>
        <c:axPos val="b"/>
        <c:numFmt formatCode="0.0" sourceLinked="1"/>
        <c:majorTickMark val="none"/>
        <c:minorTickMark val="none"/>
        <c:tickLblPos val="nextTo"/>
        <c:crossAx val="891532287"/>
        <c:crosses val="autoZero"/>
        <c:crossBetween val="between"/>
      </c:valAx>
      <c:spPr>
        <a:noFill/>
        <a:ln>
          <a:solidFill>
            <a:schemeClr val="bg1"/>
          </a:solid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002060"/>
                  </a:gs>
                  <a:gs pos="81000">
                    <a:srgbClr val="D3A2EE"/>
                  </a:gs>
                  <a:gs pos="98000">
                    <a:srgbClr val="7A9AD4"/>
                  </a:gs>
                  <a:gs pos="100000">
                    <a:schemeClr val="accent1">
                      <a:lumMod val="30000"/>
                      <a:lumOff val="70000"/>
                    </a:schemeClr>
                  </a:gs>
                </a:gsLst>
                <a:lin ang="10800000" scaled="0"/>
              </a:gradFill>
              <a:ln w="19050">
                <a:noFill/>
              </a:ln>
              <a:effectLst/>
            </c:spPr>
            <c:extLst>
              <c:ext xmlns:c16="http://schemas.microsoft.com/office/drawing/2014/chart" uri="{C3380CC4-5D6E-409C-BE32-E72D297353CC}">
                <c16:uniqueId val="{00000001-C900-454C-95B0-C3BD0875CBD5}"/>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C900-454C-95B0-C3BD0875CBD5}"/>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C900-454C-95B0-C3BD0875CBD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2606-4788-A559-257AE4216667}"/>
              </c:ext>
            </c:extLst>
          </c:dPt>
          <c:dPt>
            <c:idx val="1"/>
            <c:bubble3D val="0"/>
            <c:spPr>
              <a:gradFill>
                <a:gsLst>
                  <a:gs pos="0">
                    <a:srgbClr val="FF0000"/>
                  </a:gs>
                  <a:gs pos="0">
                    <a:srgbClr val="FF0000"/>
                  </a:gs>
                  <a:gs pos="100000">
                    <a:srgbClr val="F6927E"/>
                  </a:gs>
                  <a:gs pos="0">
                    <a:srgbClr val="FF0000"/>
                  </a:gs>
                </a:gsLst>
                <a:lin ang="10800000" scaled="0"/>
              </a:gradFill>
              <a:ln w="19050">
                <a:solidFill>
                  <a:schemeClr val="lt1"/>
                </a:solidFill>
              </a:ln>
              <a:effectLst/>
            </c:spPr>
            <c:extLst>
              <c:ext xmlns:c16="http://schemas.microsoft.com/office/drawing/2014/chart" uri="{C3380CC4-5D6E-409C-BE32-E72D297353CC}">
                <c16:uniqueId val="{00000003-2606-4788-A559-257AE4216667}"/>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2606-4788-A559-257AE421666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002060"/>
              </a:gs>
              <a:gs pos="81000">
                <a:srgbClr val="D3A2EE"/>
              </a:gs>
              <a:gs pos="98000">
                <a:srgbClr val="7A9AD4"/>
              </a:gs>
              <a:gs pos="100000">
                <a:schemeClr val="accent1">
                  <a:lumMod val="30000"/>
                  <a:lumOff val="70000"/>
                </a:schemeClr>
              </a:gs>
            </a:gsLst>
            <a:lin ang="108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rgbClr val="002060"/>
                </a:gs>
                <a:gs pos="81000">
                  <a:srgbClr val="D3A2EE"/>
                </a:gs>
                <a:gs pos="98000">
                  <a:srgbClr val="7A9AD4"/>
                </a:gs>
                <a:gs pos="100000">
                  <a:schemeClr val="accent1">
                    <a:lumMod val="30000"/>
                    <a:lumOff val="70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F16-4014-9F80-C1F0E22DDBC3}"/>
            </c:ext>
          </c:extLst>
        </c:ser>
        <c:dLbls>
          <c:dLblPos val="outEnd"/>
          <c:showLegendKey val="0"/>
          <c:showVal val="1"/>
          <c:showCatName val="0"/>
          <c:showSerName val="0"/>
          <c:showPercent val="0"/>
          <c:showBubbleSize val="0"/>
        </c:dLbls>
        <c:gapWidth val="75"/>
        <c:axId val="1875385424"/>
        <c:axId val="1875383344"/>
      </c:barChart>
      <c:catAx>
        <c:axId val="1875385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75383344"/>
        <c:crosses val="autoZero"/>
        <c:auto val="1"/>
        <c:lblAlgn val="ctr"/>
        <c:lblOffset val="100"/>
        <c:noMultiLvlLbl val="0"/>
      </c:catAx>
      <c:valAx>
        <c:axId val="1875383344"/>
        <c:scaling>
          <c:orientation val="minMax"/>
        </c:scaling>
        <c:delete val="1"/>
        <c:axPos val="b"/>
        <c:numFmt formatCode="General" sourceLinked="1"/>
        <c:majorTickMark val="out"/>
        <c:minorTickMark val="none"/>
        <c:tickLblPos val="nextTo"/>
        <c:crossAx val="18753854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270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w="12700">
            <a:solidFill>
              <a:schemeClr val="lt1"/>
            </a:solidFill>
          </a:ln>
          <a:effectLst/>
        </c:spPr>
      </c:pivotFmt>
      <c:pivotFmt>
        <c:idx val="7"/>
        <c:spPr>
          <a:solidFill>
            <a:schemeClr val="accent1"/>
          </a:solidFill>
          <a:ln w="12700">
            <a:solidFill>
              <a:schemeClr val="lt1"/>
            </a:solidFill>
          </a:ln>
          <a:effectLst/>
        </c:spPr>
      </c:pivotFmt>
      <c:pivotFmt>
        <c:idx val="8"/>
        <c:spPr>
          <a:solidFill>
            <a:schemeClr val="accent1"/>
          </a:solidFill>
          <a:ln w="12700">
            <a:solidFill>
              <a:schemeClr val="lt1"/>
            </a:solidFill>
          </a:ln>
          <a:effectLst/>
        </c:spPr>
      </c:pivotFmt>
    </c:pivotFmts>
    <c:plotArea>
      <c:layout/>
      <c:pieChart>
        <c:varyColors val="1"/>
        <c:ser>
          <c:idx val="0"/>
          <c:order val="0"/>
          <c:tx>
            <c:strRef>
              <c:f>'Dept wise Attrition'!$B$3</c:f>
              <c:strCache>
                <c:ptCount val="1"/>
                <c:pt idx="0">
                  <c:v>Total</c:v>
                </c:pt>
              </c:strCache>
            </c:strRef>
          </c:tx>
          <c:spPr>
            <a:ln w="12700"/>
          </c:spPr>
          <c:dPt>
            <c:idx val="0"/>
            <c:bubble3D val="0"/>
            <c:spPr>
              <a:solidFill>
                <a:schemeClr val="accent1"/>
              </a:solidFill>
              <a:ln w="12700">
                <a:solidFill>
                  <a:schemeClr val="lt1"/>
                </a:solidFill>
              </a:ln>
              <a:effectLst/>
            </c:spPr>
            <c:extLst>
              <c:ext xmlns:c16="http://schemas.microsoft.com/office/drawing/2014/chart" uri="{C3380CC4-5D6E-409C-BE32-E72D297353CC}">
                <c16:uniqueId val="{00000001-E82B-459C-8020-977A0CC70CB8}"/>
              </c:ext>
            </c:extLst>
          </c:dPt>
          <c:dPt>
            <c:idx val="1"/>
            <c:bubble3D val="0"/>
            <c:spPr>
              <a:solidFill>
                <a:schemeClr val="accent2"/>
              </a:solidFill>
              <a:ln w="12700">
                <a:solidFill>
                  <a:schemeClr val="lt1"/>
                </a:solidFill>
              </a:ln>
              <a:effectLst/>
            </c:spPr>
            <c:extLst>
              <c:ext xmlns:c16="http://schemas.microsoft.com/office/drawing/2014/chart" uri="{C3380CC4-5D6E-409C-BE32-E72D297353CC}">
                <c16:uniqueId val="{00000003-E82B-459C-8020-977A0CC70CB8}"/>
              </c:ext>
            </c:extLst>
          </c:dPt>
          <c:dPt>
            <c:idx val="2"/>
            <c:bubble3D val="0"/>
            <c:spPr>
              <a:solidFill>
                <a:schemeClr val="accent3"/>
              </a:solidFill>
              <a:ln w="12700">
                <a:solidFill>
                  <a:schemeClr val="lt1"/>
                </a:solidFill>
              </a:ln>
              <a:effectLst/>
            </c:spPr>
            <c:extLst>
              <c:ext xmlns:c16="http://schemas.microsoft.com/office/drawing/2014/chart" uri="{C3380CC4-5D6E-409C-BE32-E72D297353CC}">
                <c16:uniqueId val="{00000005-E82B-459C-8020-977A0CC70C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E82B-459C-8020-977A0CC70CB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grp!Attrition by Age grp</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gradFill>
            <a:gsLst>
              <a:gs pos="0">
                <a:schemeClr val="accent6">
                  <a:lumMod val="50000"/>
                </a:schemeClr>
              </a:gs>
              <a:gs pos="81000">
                <a:schemeClr val="accent6">
                  <a:lumMod val="75000"/>
                </a:schemeClr>
              </a:gs>
              <a:gs pos="98000">
                <a:schemeClr val="accent6">
                  <a:lumMod val="75000"/>
                </a:schemeClr>
              </a:gs>
              <a:gs pos="100000">
                <a:schemeClr val="accent6">
                  <a:lumMod val="20000"/>
                  <a:lumOff val="80000"/>
                </a:schemeClr>
              </a:gs>
            </a:gsLst>
            <a:lin ang="54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'Attrition by Age grp'!$B$3</c:f>
              <c:strCache>
                <c:ptCount val="1"/>
                <c:pt idx="0">
                  <c:v>Total</c:v>
                </c:pt>
              </c:strCache>
            </c:strRef>
          </c:tx>
          <c:spPr>
            <a:gradFill>
              <a:gsLst>
                <a:gs pos="0">
                  <a:schemeClr val="accent6">
                    <a:lumMod val="50000"/>
                  </a:schemeClr>
                </a:gs>
                <a:gs pos="81000">
                  <a:schemeClr val="accent6">
                    <a:lumMod val="75000"/>
                  </a:schemeClr>
                </a:gs>
                <a:gs pos="98000">
                  <a:schemeClr val="accent6">
                    <a:lumMod val="75000"/>
                  </a:schemeClr>
                </a:gs>
                <a:gs pos="100000">
                  <a:schemeClr val="accent6">
                    <a:lumMod val="20000"/>
                    <a:lumOff val="8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'Attrition by Age grp'!$A$4:$A$9</c:f>
              <c:strCache>
                <c:ptCount val="5"/>
                <c:pt idx="0">
                  <c:v>25 - 34</c:v>
                </c:pt>
                <c:pt idx="1">
                  <c:v>35 - 44</c:v>
                </c:pt>
                <c:pt idx="2">
                  <c:v>Under 25</c:v>
                </c:pt>
                <c:pt idx="3">
                  <c:v>45 - 54</c:v>
                </c:pt>
                <c:pt idx="4">
                  <c:v>Over 55</c:v>
                </c:pt>
              </c:strCache>
            </c:strRef>
          </c:cat>
          <c:val>
            <c:numRef>
              <c:f>'Attrition by Age grp'!$B$4:$B$9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5C4-4482-9F2F-75231AC7CE6F}"/>
            </c:ext>
          </c:extLst>
        </c:ser>
        <c:dLbls>
          <c:dLblPos val="outEnd"/>
          <c:showLegendKey val="0"/>
          <c:showVal val="1"/>
          <c:showCatName val="0"/>
          <c:showSerName val="0"/>
          <c:showPercent val="0"/>
          <c:showBubbleSize val="0"/>
        </c:dLbls>
        <c:gapWidth val="107"/>
        <c:overlap val="-27"/>
        <c:axId val="1878210416"/>
        <c:axId val="1878203344"/>
      </c:barChart>
      <c:catAx>
        <c:axId val="187821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878203344"/>
        <c:crosses val="autoZero"/>
        <c:auto val="1"/>
        <c:lblAlgn val="ctr"/>
        <c:lblOffset val="100"/>
        <c:noMultiLvlLbl val="0"/>
      </c:catAx>
      <c:valAx>
        <c:axId val="1878203344"/>
        <c:scaling>
          <c:orientation val="minMax"/>
        </c:scaling>
        <c:delete val="1"/>
        <c:axPos val="l"/>
        <c:numFmt formatCode="General" sourceLinked="1"/>
        <c:majorTickMark val="none"/>
        <c:minorTickMark val="none"/>
        <c:tickLblPos val="nextTo"/>
        <c:crossAx val="187821041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'Marital Status'!$D$4:$D$6</c:f>
              <c:strCache>
                <c:ptCount val="3"/>
                <c:pt idx="0">
                  <c:v>Divorced</c:v>
                </c:pt>
                <c:pt idx="1">
                  <c:v>Married</c:v>
                </c:pt>
                <c:pt idx="2">
                  <c:v>Single</c:v>
                </c:pt>
              </c:strCache>
            </c:strRef>
          </c:cat>
          <c:val>
            <c:numRef>
              <c:f>'Marital Status'!$E$4:$E$6</c:f>
              <c:numCache>
                <c:formatCode>General</c:formatCode>
                <c:ptCount val="3"/>
                <c:pt idx="0">
                  <c:v>327</c:v>
                </c:pt>
                <c:pt idx="1">
                  <c:v>673</c:v>
                </c:pt>
                <c:pt idx="2">
                  <c:v>470</c:v>
                </c:pt>
              </c:numCache>
            </c:numRef>
          </c:val>
          <c:extLst>
            <c:ext xmlns:c16="http://schemas.microsoft.com/office/drawing/2014/chart" uri="{C3380CC4-5D6E-409C-BE32-E72D297353CC}">
              <c16:uniqueId val="{00000000-F721-4B3A-81B6-74D44CE0C661}"/>
            </c:ext>
          </c:extLst>
        </c:ser>
        <c:dLbls>
          <c:dLblPos val="inEnd"/>
          <c:showLegendKey val="0"/>
          <c:showVal val="1"/>
          <c:showCatName val="0"/>
          <c:showSerName val="0"/>
          <c:showPercent val="0"/>
          <c:showBubbleSize val="0"/>
        </c:dLbls>
        <c:gapWidth val="20"/>
        <c:axId val="1878222896"/>
        <c:axId val="1878225808"/>
      </c:barChart>
      <c:catAx>
        <c:axId val="18782228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78225808"/>
        <c:crosses val="autoZero"/>
        <c:auto val="1"/>
        <c:lblAlgn val="ctr"/>
        <c:lblOffset val="100"/>
        <c:noMultiLvlLbl val="0"/>
      </c:catAx>
      <c:valAx>
        <c:axId val="1878225808"/>
        <c:scaling>
          <c:orientation val="minMax"/>
        </c:scaling>
        <c:delete val="1"/>
        <c:axPos val="t"/>
        <c:numFmt formatCode="General" sourceLinked="1"/>
        <c:majorTickMark val="none"/>
        <c:minorTickMark val="none"/>
        <c:tickLblPos val="nextTo"/>
        <c:crossAx val="18782228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6EB291CF-30EC-44B8-8C5F-D1BD4D967323}">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6EB291CF-30EC-44B8-8C5F-D1BD4D967323}">
          <cx:dataLabels pos="inEnd">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1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2.xml"/><Relationship Id="rId3" Type="http://schemas.openxmlformats.org/officeDocument/2006/relationships/image" Target="../media/image4.png"/><Relationship Id="rId7" Type="http://schemas.openxmlformats.org/officeDocument/2006/relationships/image" Target="../media/image7.png"/><Relationship Id="rId12" Type="http://schemas.openxmlformats.org/officeDocument/2006/relationships/image" Target="../media/image9.jpeg"/><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3.png"/><Relationship Id="rId15" Type="http://schemas.openxmlformats.org/officeDocument/2006/relationships/chart" Target="../charts/chart13.xml"/><Relationship Id="rId10" Type="http://schemas.openxmlformats.org/officeDocument/2006/relationships/chart" Target="../charts/chart10.xml"/><Relationship Id="rId4" Type="http://schemas.openxmlformats.org/officeDocument/2006/relationships/image" Target="../media/image5.png"/><Relationship Id="rId9" Type="http://schemas.openxmlformats.org/officeDocument/2006/relationships/chart" Target="../charts/chart9.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editAs="oneCell">
    <xdr:from>
      <xdr:col>6</xdr:col>
      <xdr:colOff>373380</xdr:colOff>
      <xdr:row>1</xdr:row>
      <xdr:rowOff>160021</xdr:rowOff>
    </xdr:from>
    <xdr:to>
      <xdr:col>9</xdr:col>
      <xdr:colOff>190500</xdr:colOff>
      <xdr:row>9</xdr:row>
      <xdr:rowOff>7621</xdr:rowOff>
    </xdr:to>
    <mc:AlternateContent xmlns:mc="http://schemas.openxmlformats.org/markup-compatibility/2006" xmlns:a14="http://schemas.microsoft.com/office/drawing/2010/main">
      <mc:Choice Requires="a14">
        <xdr:graphicFrame macro="">
          <xdr:nvGraphicFramePr>
            <xdr:cNvPr id="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49540" y="35814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518160</xdr:colOff>
      <xdr:row>2</xdr:row>
      <xdr:rowOff>121920</xdr:rowOff>
    </xdr:from>
    <xdr:to>
      <xdr:col>6</xdr:col>
      <xdr:colOff>320040</xdr:colOff>
      <xdr:row>7</xdr:row>
      <xdr:rowOff>148590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7620</xdr:colOff>
      <xdr:row>3</xdr:row>
      <xdr:rowOff>60961</xdr:rowOff>
    </xdr:from>
    <xdr:to>
      <xdr:col>9</xdr:col>
      <xdr:colOff>495300</xdr:colOff>
      <xdr:row>8</xdr:row>
      <xdr:rowOff>53341</xdr:rowOff>
    </xdr:to>
    <mc:AlternateContent xmlns:mc="http://schemas.openxmlformats.org/markup-compatibility/2006" xmlns:a14="http://schemas.microsoft.com/office/drawing/2010/main">
      <mc:Choice Requires="a14">
        <xdr:graphicFrame macro="">
          <xdr:nvGraphicFramePr>
            <xdr:cNvPr id="3"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829300" y="655321"/>
              <a:ext cx="182880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518160</xdr:colOff>
      <xdr:row>5</xdr:row>
      <xdr:rowOff>129540</xdr:rowOff>
    </xdr:from>
    <xdr:to>
      <xdr:col>12</xdr:col>
      <xdr:colOff>335280</xdr:colOff>
      <xdr:row>19</xdr:row>
      <xdr:rowOff>51435</xdr:rowOff>
    </xdr:to>
    <mc:AlternateContent xmlns:mc="http://schemas.openxmlformats.org/markup-compatibility/2006" xmlns:a14="http://schemas.microsoft.com/office/drawing/2010/main">
      <mc:Choice Requires="a14">
        <xdr:graphicFrame macro="">
          <xdr:nvGraphicFramePr>
            <xdr:cNvPr id="6" name="Education Field"/>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7680960" y="11201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365760</xdr:colOff>
      <xdr:row>12</xdr:row>
      <xdr:rowOff>22860</xdr:rowOff>
    </xdr:from>
    <xdr:to>
      <xdr:col>6</xdr:col>
      <xdr:colOff>640080</xdr:colOff>
      <xdr:row>20</xdr:row>
      <xdr:rowOff>45720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441960</xdr:colOff>
      <xdr:row>3</xdr:row>
      <xdr:rowOff>15240</xdr:rowOff>
    </xdr:from>
    <xdr:to>
      <xdr:col>13</xdr:col>
      <xdr:colOff>259080</xdr:colOff>
      <xdr:row>16</xdr:row>
      <xdr:rowOff>135255</xdr:rowOff>
    </xdr:to>
    <mc:AlternateContent xmlns:mc="http://schemas.openxmlformats.org/markup-compatibility/2006" xmlns:a14="http://schemas.microsoft.com/office/drawing/2010/main">
      <mc:Choice Requires="a14">
        <xdr:graphicFrame macro="">
          <xdr:nvGraphicFramePr>
            <xdr:cNvPr id="2" name="Education Field 1"/>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8473440" y="6096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259080</xdr:colOff>
      <xdr:row>3</xdr:row>
      <xdr:rowOff>38101</xdr:rowOff>
    </xdr:from>
    <xdr:to>
      <xdr:col>9</xdr:col>
      <xdr:colOff>76200</xdr:colOff>
      <xdr:row>8</xdr:row>
      <xdr:rowOff>175261</xdr:rowOff>
    </xdr:to>
    <mc:AlternateContent xmlns:mc="http://schemas.openxmlformats.org/markup-compatibility/2006" xmlns:a14="http://schemas.microsoft.com/office/drawing/2010/main">
      <mc:Choice Requires="a14">
        <xdr:graphicFrame macro="">
          <xdr:nvGraphicFramePr>
            <xdr:cNvPr id="3"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5608320" y="632461"/>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708660</xdr:colOff>
      <xdr:row>11</xdr:row>
      <xdr:rowOff>129540</xdr:rowOff>
    </xdr:from>
    <xdr:to>
      <xdr:col>5</xdr:col>
      <xdr:colOff>396240</xdr:colOff>
      <xdr:row>24</xdr:row>
      <xdr:rowOff>140970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1245870</xdr:colOff>
      <xdr:row>6</xdr:row>
      <xdr:rowOff>26670</xdr:rowOff>
    </xdr:from>
    <xdr:to>
      <xdr:col>8</xdr:col>
      <xdr:colOff>57150</xdr:colOff>
      <xdr:row>19</xdr:row>
      <xdr:rowOff>194310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510540</xdr:colOff>
      <xdr:row>5</xdr:row>
      <xdr:rowOff>34290</xdr:rowOff>
    </xdr:from>
    <xdr:to>
      <xdr:col>13</xdr:col>
      <xdr:colOff>388620</xdr:colOff>
      <xdr:row>19</xdr:row>
      <xdr:rowOff>3810</xdr:rowOff>
    </xdr:to>
    <mc:AlternateContent xmlns:mc="http://schemas.openxmlformats.org/markup-compatibility/2006">
      <mc:Choice xmlns:cx1="http://schemas.microsoft.com/office/drawing/2015/9/8/chartex" Requires="cx1">
        <xdr:graphicFrame macro="">
          <xdr:nvGraphicFramePr>
            <xdr:cNvPr id="2" name="Chart 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1535430</xdr:colOff>
      <xdr:row>6</xdr:row>
      <xdr:rowOff>26670</xdr:rowOff>
    </xdr:from>
    <xdr:to>
      <xdr:col>8</xdr:col>
      <xdr:colOff>346710</xdr:colOff>
      <xdr:row>19</xdr:row>
      <xdr:rowOff>194310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1687830</xdr:colOff>
      <xdr:row>8</xdr:row>
      <xdr:rowOff>118110</xdr:rowOff>
    </xdr:from>
    <xdr:to>
      <xdr:col>8</xdr:col>
      <xdr:colOff>499110</xdr:colOff>
      <xdr:row>22</xdr:row>
      <xdr:rowOff>87630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563880</xdr:colOff>
      <xdr:row>4</xdr:row>
      <xdr:rowOff>60960</xdr:rowOff>
    </xdr:from>
    <xdr:to>
      <xdr:col>17</xdr:col>
      <xdr:colOff>381000</xdr:colOff>
      <xdr:row>17</xdr:row>
      <xdr:rowOff>180975</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277600" y="8534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160020</xdr:colOff>
      <xdr:row>4</xdr:row>
      <xdr:rowOff>83820</xdr:rowOff>
    </xdr:from>
    <xdr:to>
      <xdr:col>13</xdr:col>
      <xdr:colOff>647700</xdr:colOff>
      <xdr:row>18</xdr:row>
      <xdr:rowOff>5715</xdr:rowOff>
    </xdr:to>
    <mc:AlternateContent xmlns:mc="http://schemas.openxmlformats.org/markup-compatibility/2006" xmlns:a14="http://schemas.microsoft.com/office/drawing/2010/main">
      <mc:Choice Requires="a14">
        <xdr:graphicFrame macro="">
          <xdr:nvGraphicFramePr>
            <xdr:cNvPr id="4" name="Education Field 2"/>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8862060" y="8763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6</xdr:col>
      <xdr:colOff>411480</xdr:colOff>
      <xdr:row>9</xdr:row>
      <xdr:rowOff>118110</xdr:rowOff>
    </xdr:from>
    <xdr:to>
      <xdr:col>13</xdr:col>
      <xdr:colOff>289560</xdr:colOff>
      <xdr:row>23</xdr:row>
      <xdr:rowOff>87630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twoCellAnchor editAs="oneCell">
    <xdr:from>
      <xdr:col>14</xdr:col>
      <xdr:colOff>8614</xdr:colOff>
      <xdr:row>8</xdr:row>
      <xdr:rowOff>53340</xdr:rowOff>
    </xdr:from>
    <xdr:to>
      <xdr:col>15</xdr:col>
      <xdr:colOff>105155</xdr:colOff>
      <xdr:row>11</xdr:row>
      <xdr:rowOff>83820</xdr:rowOff>
    </xdr:to>
    <xdr:pic>
      <xdr:nvPicPr>
        <xdr:cNvPr id="9" name="Picture 8"/>
        <xdr:cNvPicPr>
          <a:picLocks noChangeAspect="1"/>
        </xdr:cNvPicPr>
      </xdr:nvPicPr>
      <xdr:blipFill>
        <a:blip xmlns:r="http://schemas.openxmlformats.org/officeDocument/2006/relationships" r:embed="rId8" cstate="print">
          <a:clrChange>
            <a:clrFrom>
              <a:srgbClr val="E8E8E8"/>
            </a:clrFrom>
            <a:clrTo>
              <a:srgbClr val="E8E8E8">
                <a:alpha val="0"/>
              </a:srgbClr>
            </a:clrTo>
          </a:clrChange>
          <a:extLst>
            <a:ext uri="{28A0092B-C50C-407E-A947-70E740481C1C}">
              <a14:useLocalDpi xmlns:a14="http://schemas.microsoft.com/office/drawing/2010/main" val="0"/>
            </a:ext>
          </a:extLst>
        </a:blip>
        <a:stretch>
          <a:fillRect/>
        </a:stretch>
      </xdr:blipFill>
      <xdr:spPr>
        <a:xfrm>
          <a:off x="9183094" y="1577340"/>
          <a:ext cx="751861" cy="6019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1</xdr:col>
      <xdr:colOff>149628</xdr:colOff>
      <xdr:row>1</xdr:row>
      <xdr:rowOff>94730</xdr:rowOff>
    </xdr:from>
    <xdr:ext cx="14725650" cy="7477125"/>
    <xdr:grpSp>
      <xdr:nvGrpSpPr>
        <xdr:cNvPr id="2" name="Shape 2"/>
        <xdr:cNvGrpSpPr/>
      </xdr:nvGrpSpPr>
      <xdr:grpSpPr>
        <a:xfrm>
          <a:off x="800792" y="288694"/>
          <a:ext cx="14725650" cy="7477125"/>
          <a:chOff x="0" y="41438"/>
          <a:chExt cx="10692000" cy="7477125"/>
        </a:xfrm>
      </xdr:grpSpPr>
      <xdr:grpSp>
        <xdr:nvGrpSpPr>
          <xdr:cNvPr id="3" name="Shape 3"/>
          <xdr:cNvGrpSpPr/>
        </xdr:nvGrpSpPr>
        <xdr:grpSpPr>
          <a:xfrm>
            <a:off x="0" y="41438"/>
            <a:ext cx="10692000" cy="747712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xdr:cNvGrpSpPr/>
          </xdr:nvGrpSpPr>
          <xdr:grpSpPr>
            <a:xfrm>
              <a:off x="1846116" y="1215714"/>
              <a:ext cx="13289109" cy="998848"/>
              <a:chOff x="1846116" y="1215714"/>
              <a:chExt cx="13403409" cy="998848"/>
            </a:xfrm>
          </xdr:grpSpPr>
          <xdr:sp macro="" textlink="">
            <xdr:nvSpPr>
              <xdr:cNvPr id="10" name="Shape 10"/>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xdr:cNvGrpSpPr/>
          </xdr:nvGrpSpPr>
          <xdr:grpSpPr>
            <a:xfrm>
              <a:off x="1847145" y="5162550"/>
              <a:ext cx="3867930" cy="2709509"/>
              <a:chOff x="1847145" y="2304895"/>
              <a:chExt cx="3867930" cy="2772878"/>
            </a:xfrm>
          </xdr:grpSpPr>
          <xdr:sp macro="" textlink="">
            <xdr:nvSpPr>
              <xdr:cNvPr id="16" name="Shape 16"/>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9</xdr:col>
      <xdr:colOff>77932</xdr:colOff>
      <xdr:row>3</xdr:row>
      <xdr:rowOff>192232</xdr:rowOff>
    </xdr:from>
    <xdr:ext cx="14754225" cy="7439025"/>
    <xdr:grpSp>
      <xdr:nvGrpSpPr>
        <xdr:cNvPr id="2" name="Shape 2"/>
        <xdr:cNvGrpSpPr/>
      </xdr:nvGrpSpPr>
      <xdr:grpSpPr>
        <a:xfrm>
          <a:off x="5938405" y="774123"/>
          <a:ext cx="14754225" cy="7439025"/>
          <a:chOff x="0" y="60488"/>
          <a:chExt cx="10692000" cy="7439025"/>
        </a:xfrm>
      </xdr:grpSpPr>
      <xdr:grpSp>
        <xdr:nvGrpSpPr>
          <xdr:cNvPr id="29" name="Shape 29"/>
          <xdr:cNvGrpSpPr/>
        </xdr:nvGrpSpPr>
        <xdr:grpSpPr>
          <a:xfrm>
            <a:off x="0" y="60488"/>
            <a:ext cx="10692000" cy="743902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xdr:cNvGrpSpPr/>
          </xdr:nvGrpSpPr>
          <xdr:grpSpPr>
            <a:xfrm>
              <a:off x="1846116" y="1215714"/>
              <a:ext cx="13289109" cy="998848"/>
              <a:chOff x="1846116" y="1215714"/>
              <a:chExt cx="13403409" cy="998848"/>
            </a:xfrm>
          </xdr:grpSpPr>
          <xdr:sp macro="" textlink="">
            <xdr:nvSpPr>
              <xdr:cNvPr id="35" name="Shape 35"/>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xdr:cNvGrpSpPr/>
          </xdr:nvGrpSpPr>
          <xdr:grpSpPr>
            <a:xfrm>
              <a:off x="1847145" y="5162550"/>
              <a:ext cx="3867930" cy="2709509"/>
              <a:chOff x="1847145" y="2304895"/>
              <a:chExt cx="3867930" cy="2772878"/>
            </a:xfrm>
          </xdr:grpSpPr>
          <xdr:sp macro="" textlink="">
            <xdr:nvSpPr>
              <xdr:cNvPr id="41" name="Shape 41"/>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9</xdr:col>
      <xdr:colOff>180109</xdr:colOff>
      <xdr:row>9</xdr:row>
      <xdr:rowOff>83126</xdr:rowOff>
    </xdr:from>
    <xdr:to>
      <xdr:col>13</xdr:col>
      <xdr:colOff>27710</xdr:colOff>
      <xdr:row>11</xdr:row>
      <xdr:rowOff>83126</xdr:rowOff>
    </xdr:to>
    <xdr:sp macro="" textlink="">
      <xdr:nvSpPr>
        <xdr:cNvPr id="3" name="TextBox 2"/>
        <xdr:cNvSpPr txBox="1"/>
      </xdr:nvSpPr>
      <xdr:spPr>
        <a:xfrm>
          <a:off x="6040582" y="1828799"/>
          <a:ext cx="2452255" cy="38792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C00000"/>
              </a:solidFill>
              <a:latin typeface="Arial Black" panose="020B0A04020102020204" pitchFamily="34" charset="0"/>
            </a:rPr>
            <a:t>Total</a:t>
          </a:r>
          <a:r>
            <a:rPr lang="en-IN" sz="1800" baseline="0">
              <a:solidFill>
                <a:srgbClr val="C00000"/>
              </a:solidFill>
              <a:latin typeface="Arial Black" panose="020B0A04020102020204" pitchFamily="34" charset="0"/>
            </a:rPr>
            <a:t> Employees</a:t>
          </a:r>
          <a:endParaRPr lang="en-IN" sz="1800">
            <a:solidFill>
              <a:srgbClr val="C00000"/>
            </a:solidFill>
            <a:latin typeface="Arial Black" panose="020B0A04020102020204" pitchFamily="34" charset="0"/>
          </a:endParaRPr>
        </a:p>
      </xdr:txBody>
    </xdr:sp>
    <xdr:clientData/>
  </xdr:twoCellAnchor>
  <xdr:twoCellAnchor>
    <xdr:from>
      <xdr:col>9</xdr:col>
      <xdr:colOff>568036</xdr:colOff>
      <xdr:row>11</xdr:row>
      <xdr:rowOff>83127</xdr:rowOff>
    </xdr:from>
    <xdr:to>
      <xdr:col>13</xdr:col>
      <xdr:colOff>166255</xdr:colOff>
      <xdr:row>13</xdr:row>
      <xdr:rowOff>152400</xdr:rowOff>
    </xdr:to>
    <xdr:sp macro="" textlink="KPI!A8">
      <xdr:nvSpPr>
        <xdr:cNvPr id="5" name="TextBox 4"/>
        <xdr:cNvSpPr txBox="1"/>
      </xdr:nvSpPr>
      <xdr:spPr>
        <a:xfrm>
          <a:off x="6428509" y="2216727"/>
          <a:ext cx="220287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B4A14D-D567-4F80-B1BD-52608A49A145}" type="TxLink">
            <a:rPr lang="en-US" sz="2800" b="0" i="0" u="none" strike="noStrike">
              <a:solidFill>
                <a:srgbClr val="002060"/>
              </a:solidFill>
              <a:latin typeface="Arial Black" panose="020B0A04020102020204" pitchFamily="34" charset="0"/>
              <a:ea typeface="Calibri"/>
              <a:cs typeface="Calibri"/>
            </a:rPr>
            <a:pPr algn="ctr"/>
            <a:t>1470</a:t>
          </a:fld>
          <a:endParaRPr lang="en-IN" sz="2800">
            <a:solidFill>
              <a:srgbClr val="002060"/>
            </a:solidFill>
            <a:latin typeface="Arial Black" panose="020B0A04020102020204" pitchFamily="34" charset="0"/>
          </a:endParaRPr>
        </a:p>
      </xdr:txBody>
    </xdr:sp>
    <xdr:clientData/>
  </xdr:twoCellAnchor>
  <xdr:twoCellAnchor>
    <xdr:from>
      <xdr:col>13</xdr:col>
      <xdr:colOff>498764</xdr:colOff>
      <xdr:row>9</xdr:row>
      <xdr:rowOff>83128</xdr:rowOff>
    </xdr:from>
    <xdr:to>
      <xdr:col>16</xdr:col>
      <xdr:colOff>244187</xdr:colOff>
      <xdr:row>11</xdr:row>
      <xdr:rowOff>136815</xdr:rowOff>
    </xdr:to>
    <xdr:sp macro="" textlink="">
      <xdr:nvSpPr>
        <xdr:cNvPr id="54" name="TextBox 53"/>
        <xdr:cNvSpPr txBox="1"/>
      </xdr:nvSpPr>
      <xdr:spPr>
        <a:xfrm>
          <a:off x="8963891" y="1828801"/>
          <a:ext cx="1698914" cy="4416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C00000"/>
              </a:solidFill>
              <a:latin typeface="Arial Black" panose="020B0A04020102020204" pitchFamily="34" charset="0"/>
            </a:rPr>
            <a:t>Attrition</a:t>
          </a:r>
          <a:endParaRPr lang="en-IN" sz="1800" baseline="0">
            <a:solidFill>
              <a:srgbClr val="C00000"/>
            </a:solidFill>
            <a:latin typeface="Arial Black" panose="020B0A04020102020204" pitchFamily="34" charset="0"/>
          </a:endParaRPr>
        </a:p>
      </xdr:txBody>
    </xdr:sp>
    <xdr:clientData/>
  </xdr:twoCellAnchor>
  <xdr:twoCellAnchor>
    <xdr:from>
      <xdr:col>14</xdr:col>
      <xdr:colOff>202622</xdr:colOff>
      <xdr:row>11</xdr:row>
      <xdr:rowOff>81397</xdr:rowOff>
    </xdr:from>
    <xdr:to>
      <xdr:col>17</xdr:col>
      <xdr:colOff>452004</xdr:colOff>
      <xdr:row>13</xdr:row>
      <xdr:rowOff>150670</xdr:rowOff>
    </xdr:to>
    <xdr:sp macro="" textlink="KPI!B8">
      <xdr:nvSpPr>
        <xdr:cNvPr id="55" name="TextBox 54"/>
        <xdr:cNvSpPr txBox="1"/>
      </xdr:nvSpPr>
      <xdr:spPr>
        <a:xfrm>
          <a:off x="9318913" y="2214997"/>
          <a:ext cx="220287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3A2D96-7D19-44B4-9C5C-8F8E644B8BBD}" type="TxLink">
            <a:rPr lang="en-US" sz="2800" b="0" i="0" u="none" strike="noStrike">
              <a:solidFill>
                <a:srgbClr val="000000"/>
              </a:solidFill>
              <a:latin typeface="Arial Black" panose="020B0A04020102020204" pitchFamily="34" charset="0"/>
              <a:ea typeface="Calibri"/>
              <a:cs typeface="Calibri"/>
            </a:rPr>
            <a:pPr algn="ctr"/>
            <a:t>237</a:t>
          </a:fld>
          <a:endParaRPr lang="en-IN" sz="2800">
            <a:solidFill>
              <a:srgbClr val="002060"/>
            </a:solidFill>
            <a:latin typeface="Arial Black" panose="020B0A04020102020204" pitchFamily="34" charset="0"/>
          </a:endParaRPr>
        </a:p>
      </xdr:txBody>
    </xdr:sp>
    <xdr:clientData/>
  </xdr:twoCellAnchor>
  <xdr:twoCellAnchor>
    <xdr:from>
      <xdr:col>18</xdr:col>
      <xdr:colOff>161061</xdr:colOff>
      <xdr:row>9</xdr:row>
      <xdr:rowOff>95252</xdr:rowOff>
    </xdr:from>
    <xdr:to>
      <xdr:col>21</xdr:col>
      <xdr:colOff>637310</xdr:colOff>
      <xdr:row>11</xdr:row>
      <xdr:rowOff>55419</xdr:rowOff>
    </xdr:to>
    <xdr:sp macro="" textlink="">
      <xdr:nvSpPr>
        <xdr:cNvPr id="56" name="TextBox 55"/>
        <xdr:cNvSpPr txBox="1"/>
      </xdr:nvSpPr>
      <xdr:spPr>
        <a:xfrm>
          <a:off x="11882006" y="1840925"/>
          <a:ext cx="2429740" cy="34809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C00000"/>
              </a:solidFill>
              <a:latin typeface="Arial Black" panose="020B0A04020102020204" pitchFamily="34" charset="0"/>
            </a:rPr>
            <a:t>Active</a:t>
          </a:r>
          <a:r>
            <a:rPr lang="en-IN" sz="1800" baseline="0">
              <a:solidFill>
                <a:srgbClr val="C00000"/>
              </a:solidFill>
              <a:latin typeface="Arial Black" panose="020B0A04020102020204" pitchFamily="34" charset="0"/>
            </a:rPr>
            <a:t> Employees</a:t>
          </a:r>
          <a:endParaRPr lang="en-IN" sz="1800">
            <a:solidFill>
              <a:srgbClr val="C00000"/>
            </a:solidFill>
            <a:latin typeface="Arial Black" panose="020B0A04020102020204" pitchFamily="34" charset="0"/>
          </a:endParaRPr>
        </a:p>
      </xdr:txBody>
    </xdr:sp>
    <xdr:clientData/>
  </xdr:twoCellAnchor>
  <xdr:twoCellAnchor>
    <xdr:from>
      <xdr:col>18</xdr:col>
      <xdr:colOff>327314</xdr:colOff>
      <xdr:row>11</xdr:row>
      <xdr:rowOff>109106</xdr:rowOff>
    </xdr:from>
    <xdr:to>
      <xdr:col>21</xdr:col>
      <xdr:colOff>576696</xdr:colOff>
      <xdr:row>13</xdr:row>
      <xdr:rowOff>178379</xdr:rowOff>
    </xdr:to>
    <xdr:sp macro="" textlink="KPI!D8">
      <xdr:nvSpPr>
        <xdr:cNvPr id="57" name="TextBox 56"/>
        <xdr:cNvSpPr txBox="1"/>
      </xdr:nvSpPr>
      <xdr:spPr>
        <a:xfrm>
          <a:off x="12048259" y="2242706"/>
          <a:ext cx="220287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C231178-F65D-4F79-95C9-B82189D23092}" type="TxLink">
            <a:rPr lang="en-US" sz="2800" b="0" i="0" u="none" strike="noStrike">
              <a:solidFill>
                <a:srgbClr val="000000"/>
              </a:solidFill>
              <a:latin typeface="Arial Black" panose="020B0A04020102020204" pitchFamily="34" charset="0"/>
              <a:ea typeface="Calibri"/>
              <a:cs typeface="Calibri"/>
            </a:rPr>
            <a:pPr algn="ctr"/>
            <a:t>1233</a:t>
          </a:fld>
          <a:endParaRPr lang="en-IN" sz="2800">
            <a:solidFill>
              <a:srgbClr val="002060"/>
            </a:solidFill>
            <a:latin typeface="Arial Black" panose="020B0A04020102020204" pitchFamily="34" charset="0"/>
          </a:endParaRPr>
        </a:p>
      </xdr:txBody>
    </xdr:sp>
    <xdr:clientData/>
  </xdr:twoCellAnchor>
  <xdr:twoCellAnchor>
    <xdr:from>
      <xdr:col>22</xdr:col>
      <xdr:colOff>507423</xdr:colOff>
      <xdr:row>9</xdr:row>
      <xdr:rowOff>67541</xdr:rowOff>
    </xdr:from>
    <xdr:to>
      <xdr:col>26</xdr:col>
      <xdr:colOff>355023</xdr:colOff>
      <xdr:row>11</xdr:row>
      <xdr:rowOff>67541</xdr:rowOff>
    </xdr:to>
    <xdr:sp macro="" textlink="">
      <xdr:nvSpPr>
        <xdr:cNvPr id="60" name="TextBox 59"/>
        <xdr:cNvSpPr txBox="1"/>
      </xdr:nvSpPr>
      <xdr:spPr>
        <a:xfrm>
          <a:off x="14833023" y="1813214"/>
          <a:ext cx="2452255" cy="38792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rgbClr val="C00000"/>
              </a:solidFill>
              <a:latin typeface="Arial Black" panose="020B0A04020102020204" pitchFamily="34" charset="0"/>
            </a:rPr>
            <a:t>Attrition</a:t>
          </a:r>
          <a:r>
            <a:rPr lang="en-IN" sz="1600" baseline="0">
              <a:solidFill>
                <a:srgbClr val="C00000"/>
              </a:solidFill>
              <a:latin typeface="Arial Black" panose="020B0A04020102020204" pitchFamily="34" charset="0"/>
            </a:rPr>
            <a:t> Rate</a:t>
          </a:r>
          <a:endParaRPr lang="en-IN" sz="1600">
            <a:solidFill>
              <a:srgbClr val="C00000"/>
            </a:solidFill>
            <a:latin typeface="Arial Black" panose="020B0A04020102020204" pitchFamily="34" charset="0"/>
          </a:endParaRPr>
        </a:p>
      </xdr:txBody>
    </xdr:sp>
    <xdr:clientData/>
  </xdr:twoCellAnchor>
  <xdr:twoCellAnchor>
    <xdr:from>
      <xdr:col>23</xdr:col>
      <xdr:colOff>244186</xdr:colOff>
      <xdr:row>11</xdr:row>
      <xdr:rowOff>109106</xdr:rowOff>
    </xdr:from>
    <xdr:to>
      <xdr:col>26</xdr:col>
      <xdr:colOff>493568</xdr:colOff>
      <xdr:row>13</xdr:row>
      <xdr:rowOff>178379</xdr:rowOff>
    </xdr:to>
    <xdr:sp macro="" textlink="KPI!E8">
      <xdr:nvSpPr>
        <xdr:cNvPr id="61" name="TextBox 60"/>
        <xdr:cNvSpPr txBox="1"/>
      </xdr:nvSpPr>
      <xdr:spPr>
        <a:xfrm>
          <a:off x="15220950" y="2242706"/>
          <a:ext cx="220287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F88383-0CD6-4CD4-B07F-227485DA869A}" type="TxLink">
            <a:rPr lang="en-US" sz="2800" b="0" i="0" u="none" strike="noStrike">
              <a:solidFill>
                <a:srgbClr val="000000"/>
              </a:solidFill>
              <a:latin typeface="Arial Black" panose="020B0A04020102020204" pitchFamily="34" charset="0"/>
              <a:ea typeface="Calibri"/>
              <a:cs typeface="Calibri"/>
            </a:rPr>
            <a:pPr algn="ctr"/>
            <a:t>16.12%</a:t>
          </a:fld>
          <a:endParaRPr lang="en-IN" sz="2800">
            <a:solidFill>
              <a:srgbClr val="002060"/>
            </a:solidFill>
            <a:latin typeface="Arial Black" panose="020B0A04020102020204" pitchFamily="34" charset="0"/>
          </a:endParaRPr>
        </a:p>
      </xdr:txBody>
    </xdr:sp>
    <xdr:clientData/>
  </xdr:twoCellAnchor>
  <xdr:twoCellAnchor>
    <xdr:from>
      <xdr:col>26</xdr:col>
      <xdr:colOff>831272</xdr:colOff>
      <xdr:row>9</xdr:row>
      <xdr:rowOff>67540</xdr:rowOff>
    </xdr:from>
    <xdr:to>
      <xdr:col>29</xdr:col>
      <xdr:colOff>382733</xdr:colOff>
      <xdr:row>11</xdr:row>
      <xdr:rowOff>83127</xdr:rowOff>
    </xdr:to>
    <xdr:sp macro="" textlink="">
      <xdr:nvSpPr>
        <xdr:cNvPr id="62" name="TextBox 61"/>
        <xdr:cNvSpPr txBox="1"/>
      </xdr:nvSpPr>
      <xdr:spPr>
        <a:xfrm>
          <a:off x="17761527" y="1813213"/>
          <a:ext cx="2128406" cy="40351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rgbClr val="C00000"/>
              </a:solidFill>
              <a:latin typeface="Arial Black" panose="020B0A04020102020204" pitchFamily="34" charset="0"/>
            </a:rPr>
            <a:t>Average</a:t>
          </a:r>
          <a:r>
            <a:rPr lang="en-IN" sz="2000" baseline="0">
              <a:solidFill>
                <a:srgbClr val="C00000"/>
              </a:solidFill>
              <a:latin typeface="Arial Black" panose="020B0A04020102020204" pitchFamily="34" charset="0"/>
            </a:rPr>
            <a:t> Age</a:t>
          </a:r>
          <a:endParaRPr lang="en-IN" sz="2000">
            <a:solidFill>
              <a:srgbClr val="C00000"/>
            </a:solidFill>
            <a:latin typeface="Arial Black" panose="020B0A04020102020204" pitchFamily="34" charset="0"/>
          </a:endParaRPr>
        </a:p>
      </xdr:txBody>
    </xdr:sp>
    <xdr:clientData/>
  </xdr:twoCellAnchor>
  <xdr:twoCellAnchor>
    <xdr:from>
      <xdr:col>27</xdr:col>
      <xdr:colOff>368878</xdr:colOff>
      <xdr:row>11</xdr:row>
      <xdr:rowOff>95251</xdr:rowOff>
    </xdr:from>
    <xdr:to>
      <xdr:col>29</xdr:col>
      <xdr:colOff>853787</xdr:colOff>
      <xdr:row>13</xdr:row>
      <xdr:rowOff>164524</xdr:rowOff>
    </xdr:to>
    <xdr:sp macro="" textlink="KPI!C8">
      <xdr:nvSpPr>
        <xdr:cNvPr id="63" name="TextBox 62"/>
        <xdr:cNvSpPr txBox="1"/>
      </xdr:nvSpPr>
      <xdr:spPr>
        <a:xfrm>
          <a:off x="18158114" y="2228851"/>
          <a:ext cx="2202873"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852131-FF87-4786-9BF8-D77994567958}" type="TxLink">
            <a:rPr lang="en-US" sz="2800" b="0" i="0" u="none" strike="noStrike">
              <a:solidFill>
                <a:srgbClr val="000000"/>
              </a:solidFill>
              <a:latin typeface="Arial Black" panose="020B0A04020102020204" pitchFamily="34" charset="0"/>
              <a:ea typeface="Calibri"/>
              <a:cs typeface="Calibri"/>
            </a:rPr>
            <a:pPr algn="ctr"/>
            <a:t>37</a:t>
          </a:fld>
          <a:endParaRPr lang="en-IN" sz="2800">
            <a:solidFill>
              <a:srgbClr val="002060"/>
            </a:solidFill>
            <a:latin typeface="Arial Black" panose="020B0A04020102020204" pitchFamily="34" charset="0"/>
          </a:endParaRPr>
        </a:p>
      </xdr:txBody>
    </xdr:sp>
    <xdr:clientData/>
  </xdr:twoCellAnchor>
  <xdr:oneCellAnchor>
    <xdr:from>
      <xdr:col>12</xdr:col>
      <xdr:colOff>526472</xdr:colOff>
      <xdr:row>9</xdr:row>
      <xdr:rowOff>138545</xdr:rowOff>
    </xdr:from>
    <xdr:ext cx="333375" cy="314325"/>
    <xdr:pic>
      <xdr:nvPicPr>
        <xdr:cNvPr id="64" name="image4.png"/>
        <xdr:cNvPicPr preferRelativeResize="0"/>
      </xdr:nvPicPr>
      <xdr:blipFill>
        <a:blip xmlns:r="http://schemas.openxmlformats.org/officeDocument/2006/relationships" r:embed="rId1" cstate="print"/>
        <a:stretch>
          <a:fillRect/>
        </a:stretch>
      </xdr:blipFill>
      <xdr:spPr>
        <a:xfrm>
          <a:off x="8340436" y="1884218"/>
          <a:ext cx="333375" cy="314325"/>
        </a:xfrm>
        <a:prstGeom prst="rect">
          <a:avLst/>
        </a:prstGeom>
        <a:noFill/>
      </xdr:spPr>
    </xdr:pic>
    <xdr:clientData fLocksWithSheet="0"/>
  </xdr:oneCellAnchor>
  <xdr:oneCellAnchor>
    <xdr:from>
      <xdr:col>21</xdr:col>
      <xdr:colOff>568037</xdr:colOff>
      <xdr:row>9</xdr:row>
      <xdr:rowOff>138545</xdr:rowOff>
    </xdr:from>
    <xdr:ext cx="419100" cy="304800"/>
    <xdr:pic>
      <xdr:nvPicPr>
        <xdr:cNvPr id="65" name="image5.png"/>
        <xdr:cNvPicPr preferRelativeResize="0"/>
      </xdr:nvPicPr>
      <xdr:blipFill>
        <a:blip xmlns:r="http://schemas.openxmlformats.org/officeDocument/2006/relationships" r:embed="rId2" cstate="print"/>
        <a:stretch>
          <a:fillRect/>
        </a:stretch>
      </xdr:blipFill>
      <xdr:spPr>
        <a:xfrm>
          <a:off x="14242473" y="1884218"/>
          <a:ext cx="419100" cy="304800"/>
        </a:xfrm>
        <a:prstGeom prst="rect">
          <a:avLst/>
        </a:prstGeom>
        <a:noFill/>
      </xdr:spPr>
    </xdr:pic>
    <xdr:clientData fLocksWithSheet="0"/>
  </xdr:oneCellAnchor>
  <xdr:oneCellAnchor>
    <xdr:from>
      <xdr:col>29</xdr:col>
      <xdr:colOff>484909</xdr:colOff>
      <xdr:row>10</xdr:row>
      <xdr:rowOff>1</xdr:rowOff>
    </xdr:from>
    <xdr:ext cx="387927" cy="360218"/>
    <xdr:pic>
      <xdr:nvPicPr>
        <xdr:cNvPr id="66" name="image6.png"/>
        <xdr:cNvPicPr preferRelativeResize="0"/>
      </xdr:nvPicPr>
      <xdr:blipFill>
        <a:blip xmlns:r="http://schemas.openxmlformats.org/officeDocument/2006/relationships" r:embed="rId3" cstate="print"/>
        <a:stretch>
          <a:fillRect/>
        </a:stretch>
      </xdr:blipFill>
      <xdr:spPr>
        <a:xfrm>
          <a:off x="19992109" y="1939637"/>
          <a:ext cx="387927" cy="360218"/>
        </a:xfrm>
        <a:prstGeom prst="rect">
          <a:avLst/>
        </a:prstGeom>
        <a:noFill/>
      </xdr:spPr>
    </xdr:pic>
    <xdr:clientData fLocksWithSheet="0"/>
  </xdr:oneCellAnchor>
  <xdr:oneCellAnchor>
    <xdr:from>
      <xdr:col>17</xdr:col>
      <xdr:colOff>13854</xdr:colOff>
      <xdr:row>9</xdr:row>
      <xdr:rowOff>110836</xdr:rowOff>
    </xdr:from>
    <xdr:ext cx="485775" cy="400050"/>
    <xdr:pic>
      <xdr:nvPicPr>
        <xdr:cNvPr id="67" name="image7.png"/>
        <xdr:cNvPicPr preferRelativeResize="0"/>
      </xdr:nvPicPr>
      <xdr:blipFill>
        <a:blip xmlns:r="http://schemas.openxmlformats.org/officeDocument/2006/relationships" r:embed="rId4" cstate="print"/>
        <a:stretch>
          <a:fillRect/>
        </a:stretch>
      </xdr:blipFill>
      <xdr:spPr>
        <a:xfrm>
          <a:off x="11083636" y="1856509"/>
          <a:ext cx="485775" cy="400050"/>
        </a:xfrm>
        <a:prstGeom prst="rect">
          <a:avLst/>
        </a:prstGeom>
        <a:noFill/>
      </xdr:spPr>
    </xdr:pic>
    <xdr:clientData fLocksWithSheet="0"/>
  </xdr:oneCellAnchor>
  <xdr:oneCellAnchor>
    <xdr:from>
      <xdr:col>26</xdr:col>
      <xdr:colOff>152399</xdr:colOff>
      <xdr:row>9</xdr:row>
      <xdr:rowOff>180109</xdr:rowOff>
    </xdr:from>
    <xdr:ext cx="390525" cy="314325"/>
    <xdr:pic>
      <xdr:nvPicPr>
        <xdr:cNvPr id="68" name="image2.png"/>
        <xdr:cNvPicPr preferRelativeResize="0"/>
      </xdr:nvPicPr>
      <xdr:blipFill>
        <a:blip xmlns:r="http://schemas.openxmlformats.org/officeDocument/2006/relationships" r:embed="rId5" cstate="print"/>
        <a:stretch>
          <a:fillRect/>
        </a:stretch>
      </xdr:blipFill>
      <xdr:spPr>
        <a:xfrm>
          <a:off x="17082654" y="1925782"/>
          <a:ext cx="390525" cy="314325"/>
        </a:xfrm>
        <a:prstGeom prst="rect">
          <a:avLst/>
        </a:prstGeom>
        <a:noFill/>
      </xdr:spPr>
    </xdr:pic>
    <xdr:clientData fLocksWithSheet="0"/>
  </xdr:oneCellAnchor>
  <xdr:twoCellAnchor>
    <xdr:from>
      <xdr:col>10</xdr:col>
      <xdr:colOff>512620</xdr:colOff>
      <xdr:row>4</xdr:row>
      <xdr:rowOff>124691</xdr:rowOff>
    </xdr:from>
    <xdr:to>
      <xdr:col>22</xdr:col>
      <xdr:colOff>124692</xdr:colOff>
      <xdr:row>8</xdr:row>
      <xdr:rowOff>138547</xdr:rowOff>
    </xdr:to>
    <xdr:sp macro="" textlink="">
      <xdr:nvSpPr>
        <xdr:cNvPr id="6" name="TextBox 5"/>
        <xdr:cNvSpPr txBox="1"/>
      </xdr:nvSpPr>
      <xdr:spPr>
        <a:xfrm>
          <a:off x="7024256" y="900546"/>
          <a:ext cx="7426036" cy="789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solidFill>
                <a:schemeClr val="accent1"/>
              </a:solidFill>
              <a:latin typeface="Arial Black" panose="020B0A04020102020204" pitchFamily="34" charset="0"/>
            </a:rPr>
            <a:t>HR ANALYTICS DASHBOARD</a:t>
          </a:r>
        </a:p>
      </xdr:txBody>
    </xdr:sp>
    <xdr:clientData/>
  </xdr:twoCellAnchor>
  <xdr:oneCellAnchor>
    <xdr:from>
      <xdr:col>9</xdr:col>
      <xdr:colOff>457200</xdr:colOff>
      <xdr:row>5</xdr:row>
      <xdr:rowOff>83128</xdr:rowOff>
    </xdr:from>
    <xdr:ext cx="542925" cy="523875"/>
    <xdr:pic>
      <xdr:nvPicPr>
        <xdr:cNvPr id="69" name="image1.png"/>
        <xdr:cNvPicPr preferRelativeResize="0"/>
      </xdr:nvPicPr>
      <xdr:blipFill>
        <a:blip xmlns:r="http://schemas.openxmlformats.org/officeDocument/2006/relationships" r:embed="rId6" cstate="print"/>
        <a:stretch>
          <a:fillRect/>
        </a:stretch>
      </xdr:blipFill>
      <xdr:spPr>
        <a:xfrm>
          <a:off x="6317673" y="1052946"/>
          <a:ext cx="542925" cy="523875"/>
        </a:xfrm>
        <a:prstGeom prst="rect">
          <a:avLst/>
        </a:prstGeom>
        <a:noFill/>
      </xdr:spPr>
    </xdr:pic>
    <xdr:clientData fLocksWithSheet="0"/>
  </xdr:oneCellAnchor>
  <xdr:oneCellAnchor>
    <xdr:from>
      <xdr:col>22</xdr:col>
      <xdr:colOff>387928</xdr:colOff>
      <xdr:row>5</xdr:row>
      <xdr:rowOff>13854</xdr:rowOff>
    </xdr:from>
    <xdr:ext cx="723900" cy="628650"/>
    <xdr:pic>
      <xdr:nvPicPr>
        <xdr:cNvPr id="70" name="image3.png"/>
        <xdr:cNvPicPr preferRelativeResize="0"/>
      </xdr:nvPicPr>
      <xdr:blipFill>
        <a:blip xmlns:r="http://schemas.openxmlformats.org/officeDocument/2006/relationships" r:embed="rId7" cstate="print"/>
        <a:stretch>
          <a:fillRect/>
        </a:stretch>
      </xdr:blipFill>
      <xdr:spPr>
        <a:xfrm>
          <a:off x="14713528" y="983672"/>
          <a:ext cx="723900" cy="628650"/>
        </a:xfrm>
        <a:prstGeom prst="rect">
          <a:avLst/>
        </a:prstGeom>
        <a:noFill/>
      </xdr:spPr>
    </xdr:pic>
    <xdr:clientData fLocksWithSheet="0"/>
  </xdr:oneCellAnchor>
  <xdr:twoCellAnchor>
    <xdr:from>
      <xdr:col>23</xdr:col>
      <xdr:colOff>637308</xdr:colOff>
      <xdr:row>4</xdr:row>
      <xdr:rowOff>124691</xdr:rowOff>
    </xdr:from>
    <xdr:to>
      <xdr:col>26</xdr:col>
      <xdr:colOff>512618</xdr:colOff>
      <xdr:row>8</xdr:row>
      <xdr:rowOff>124691</xdr:rowOff>
    </xdr:to>
    <xdr:sp macro="" textlink="">
      <xdr:nvSpPr>
        <xdr:cNvPr id="7" name="TextBox 6"/>
        <xdr:cNvSpPr txBox="1"/>
      </xdr:nvSpPr>
      <xdr:spPr>
        <a:xfrm>
          <a:off x="15614072" y="900546"/>
          <a:ext cx="1828801" cy="775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rgbClr val="CC3399"/>
              </a:solidFill>
              <a:latin typeface="Arial Black" panose="020B0A04020102020204" pitchFamily="34" charset="0"/>
            </a:rPr>
            <a:t>JOB</a:t>
          </a:r>
          <a:endParaRPr lang="en-IN" sz="1200" baseline="0">
            <a:solidFill>
              <a:srgbClr val="CC3399"/>
            </a:solidFill>
            <a:latin typeface="Arial Black" panose="020B0A04020102020204" pitchFamily="34" charset="0"/>
          </a:endParaRPr>
        </a:p>
        <a:p>
          <a:pPr algn="ctr"/>
          <a:r>
            <a:rPr lang="en-IN" sz="1200" baseline="0">
              <a:solidFill>
                <a:srgbClr val="CC3399"/>
              </a:solidFill>
              <a:latin typeface="Arial Black" panose="020B0A04020102020204" pitchFamily="34" charset="0"/>
            </a:rPr>
            <a:t>SATISFACTION</a:t>
          </a:r>
        </a:p>
        <a:p>
          <a:pPr algn="ctr"/>
          <a:r>
            <a:rPr lang="en-IN" sz="1200" baseline="0">
              <a:solidFill>
                <a:srgbClr val="CC3399"/>
              </a:solidFill>
              <a:latin typeface="Arial Black" panose="020B0A04020102020204" pitchFamily="34" charset="0"/>
            </a:rPr>
            <a:t>RATING</a:t>
          </a:r>
          <a:endParaRPr lang="en-IN" sz="1200">
            <a:solidFill>
              <a:srgbClr val="CC3399"/>
            </a:solidFill>
            <a:latin typeface="Arial Black" panose="020B0A04020102020204" pitchFamily="34" charset="0"/>
          </a:endParaRPr>
        </a:p>
      </xdr:txBody>
    </xdr:sp>
    <xdr:clientData/>
  </xdr:twoCellAnchor>
  <xdr:twoCellAnchor>
    <xdr:from>
      <xdr:col>26</xdr:col>
      <xdr:colOff>304799</xdr:colOff>
      <xdr:row>4</xdr:row>
      <xdr:rowOff>138544</xdr:rowOff>
    </xdr:from>
    <xdr:to>
      <xdr:col>28</xdr:col>
      <xdr:colOff>138546</xdr:colOff>
      <xdr:row>8</xdr:row>
      <xdr:rowOff>138546</xdr:rowOff>
    </xdr:to>
    <xdr:graphicFrame macro="">
      <xdr:nvGraphicFramePr>
        <xdr:cNvPr id="71" name="Chart 7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609599</xdr:colOff>
      <xdr:row>5</xdr:row>
      <xdr:rowOff>124691</xdr:rowOff>
    </xdr:from>
    <xdr:to>
      <xdr:col>27</xdr:col>
      <xdr:colOff>221672</xdr:colOff>
      <xdr:row>7</xdr:row>
      <xdr:rowOff>83128</xdr:rowOff>
    </xdr:to>
    <xdr:sp macro="" textlink="Rating!$B$7">
      <xdr:nvSpPr>
        <xdr:cNvPr id="8" name="TextBox 7"/>
        <xdr:cNvSpPr txBox="1"/>
      </xdr:nvSpPr>
      <xdr:spPr>
        <a:xfrm>
          <a:off x="17539854" y="1094509"/>
          <a:ext cx="471054" cy="346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FE0045-277D-46E7-83FF-0F7298CB8E1C}" type="TxLink">
            <a:rPr lang="en-US" sz="1200" b="0" i="0" u="none" strike="noStrike">
              <a:solidFill>
                <a:schemeClr val="accent1"/>
              </a:solidFill>
              <a:latin typeface="Arial Black" panose="020B0A04020102020204" pitchFamily="34" charset="0"/>
              <a:ea typeface="Calibri"/>
              <a:cs typeface="Calibri"/>
            </a:rPr>
            <a:pPr algn="ctr"/>
            <a:t>2.6</a:t>
          </a:fld>
          <a:endParaRPr lang="en-IN" sz="1100">
            <a:solidFill>
              <a:schemeClr val="accent1"/>
            </a:solidFill>
            <a:latin typeface="Arial Black" panose="020B0A04020102020204" pitchFamily="34" charset="0"/>
          </a:endParaRPr>
        </a:p>
      </xdr:txBody>
    </xdr:sp>
    <xdr:clientData/>
  </xdr:twoCellAnchor>
  <xdr:twoCellAnchor>
    <xdr:from>
      <xdr:col>27</xdr:col>
      <xdr:colOff>387929</xdr:colOff>
      <xdr:row>5</xdr:row>
      <xdr:rowOff>13855</xdr:rowOff>
    </xdr:from>
    <xdr:to>
      <xdr:col>30</xdr:col>
      <xdr:colOff>13855</xdr:colOff>
      <xdr:row>8</xdr:row>
      <xdr:rowOff>69273</xdr:rowOff>
    </xdr:to>
    <xdr:graphicFrame macro="">
      <xdr:nvGraphicFramePr>
        <xdr:cNvPr id="74" name="Chart 7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27</xdr:col>
      <xdr:colOff>512618</xdr:colOff>
      <xdr:row>5</xdr:row>
      <xdr:rowOff>83128</xdr:rowOff>
    </xdr:from>
    <xdr:to>
      <xdr:col>29</xdr:col>
      <xdr:colOff>789709</xdr:colOff>
      <xdr:row>7</xdr:row>
      <xdr:rowOff>166255</xdr:rowOff>
    </xdr:to>
    <xdr:sp macro="" textlink="">
      <xdr:nvSpPr>
        <xdr:cNvPr id="75" name="Freeform 74"/>
        <xdr:cNvSpPr/>
      </xdr:nvSpPr>
      <xdr:spPr>
        <a:xfrm>
          <a:off x="18301854" y="1052946"/>
          <a:ext cx="1995055" cy="471054"/>
        </a:xfrm>
        <a:custGeom>
          <a:avLst/>
          <a:gdLst>
            <a:gd name="connsiteX0" fmla="*/ 1373066 w 2167305"/>
            <a:gd name="connsiteY0" fmla="*/ 282103 h 369277"/>
            <a:gd name="connsiteX1" fmla="*/ 1506196 w 2167305"/>
            <a:gd name="connsiteY1" fmla="*/ 369277 h 369277"/>
            <a:gd name="connsiteX2" fmla="*/ 1239936 w 2167305"/>
            <a:gd name="connsiteY2" fmla="*/ 369277 h 369277"/>
            <a:gd name="connsiteX3" fmla="*/ 215412 w 2167305"/>
            <a:gd name="connsiteY3" fmla="*/ 282103 h 369277"/>
            <a:gd name="connsiteX4" fmla="*/ 348542 w 2167305"/>
            <a:gd name="connsiteY4" fmla="*/ 369277 h 369277"/>
            <a:gd name="connsiteX5" fmla="*/ 82282 w 2167305"/>
            <a:gd name="connsiteY5" fmla="*/ 369277 h 369277"/>
            <a:gd name="connsiteX6" fmla="*/ 1951894 w 2167305"/>
            <a:gd name="connsiteY6" fmla="*/ 282102 h 369277"/>
            <a:gd name="connsiteX7" fmla="*/ 2085025 w 2167305"/>
            <a:gd name="connsiteY7" fmla="*/ 369277 h 369277"/>
            <a:gd name="connsiteX8" fmla="*/ 1818762 w 2167305"/>
            <a:gd name="connsiteY8" fmla="*/ 369277 h 369277"/>
            <a:gd name="connsiteX9" fmla="*/ 0 w 2167305"/>
            <a:gd name="connsiteY9" fmla="*/ 141053 h 369277"/>
            <a:gd name="connsiteX10" fmla="*/ 133133 w 2167305"/>
            <a:gd name="connsiteY10" fmla="*/ 228227 h 369277"/>
            <a:gd name="connsiteX11" fmla="*/ 82280 w 2167305"/>
            <a:gd name="connsiteY11" fmla="*/ 369277 h 369277"/>
            <a:gd name="connsiteX12" fmla="*/ 0 w 2167305"/>
            <a:gd name="connsiteY12" fmla="*/ 369277 h 369277"/>
            <a:gd name="connsiteX13" fmla="*/ 2167305 w 2167305"/>
            <a:gd name="connsiteY13" fmla="*/ 141052 h 369277"/>
            <a:gd name="connsiteX14" fmla="*/ 2167305 w 2167305"/>
            <a:gd name="connsiteY14" fmla="*/ 369277 h 369277"/>
            <a:gd name="connsiteX15" fmla="*/ 2085025 w 2167305"/>
            <a:gd name="connsiteY15" fmla="*/ 369277 h 369277"/>
            <a:gd name="connsiteX16" fmla="*/ 2034172 w 2167305"/>
            <a:gd name="connsiteY16" fmla="*/ 228226 h 369277"/>
            <a:gd name="connsiteX17" fmla="*/ 0 w 2167305"/>
            <a:gd name="connsiteY17" fmla="*/ 0 h 369277"/>
            <a:gd name="connsiteX18" fmla="*/ 794239 w 2167305"/>
            <a:gd name="connsiteY18" fmla="*/ 0 h 369277"/>
            <a:gd name="connsiteX19" fmla="*/ 743388 w 2167305"/>
            <a:gd name="connsiteY19" fmla="*/ 141052 h 369277"/>
            <a:gd name="connsiteX20" fmla="*/ 578827 w 2167305"/>
            <a:gd name="connsiteY20" fmla="*/ 141051 h 369277"/>
            <a:gd name="connsiteX21" fmla="*/ 711960 w 2167305"/>
            <a:gd name="connsiteY21" fmla="*/ 228225 h 369277"/>
            <a:gd name="connsiteX22" fmla="*/ 661107 w 2167305"/>
            <a:gd name="connsiteY22" fmla="*/ 369276 h 369277"/>
            <a:gd name="connsiteX23" fmla="*/ 794239 w 2167305"/>
            <a:gd name="connsiteY23" fmla="*/ 282101 h 369277"/>
            <a:gd name="connsiteX24" fmla="*/ 927370 w 2167305"/>
            <a:gd name="connsiteY24" fmla="*/ 369276 h 369277"/>
            <a:gd name="connsiteX25" fmla="*/ 876517 w 2167305"/>
            <a:gd name="connsiteY25" fmla="*/ 228225 h 369277"/>
            <a:gd name="connsiteX26" fmla="*/ 1009650 w 2167305"/>
            <a:gd name="connsiteY26" fmla="*/ 141051 h 369277"/>
            <a:gd name="connsiteX27" fmla="*/ 845089 w 2167305"/>
            <a:gd name="connsiteY27" fmla="*/ 141052 h 369277"/>
            <a:gd name="connsiteX28" fmla="*/ 794239 w 2167305"/>
            <a:gd name="connsiteY28" fmla="*/ 0 h 369277"/>
            <a:gd name="connsiteX29" fmla="*/ 2167305 w 2167305"/>
            <a:gd name="connsiteY29" fmla="*/ 0 h 369277"/>
            <a:gd name="connsiteX30" fmla="*/ 2167305 w 2167305"/>
            <a:gd name="connsiteY30" fmla="*/ 141052 h 369277"/>
            <a:gd name="connsiteX31" fmla="*/ 2002744 w 2167305"/>
            <a:gd name="connsiteY31" fmla="*/ 141053 h 369277"/>
            <a:gd name="connsiteX32" fmla="*/ 1951894 w 2167305"/>
            <a:gd name="connsiteY32" fmla="*/ 1 h 369277"/>
            <a:gd name="connsiteX33" fmla="*/ 1901043 w 2167305"/>
            <a:gd name="connsiteY33" fmla="*/ 141053 h 369277"/>
            <a:gd name="connsiteX34" fmla="*/ 1736482 w 2167305"/>
            <a:gd name="connsiteY34" fmla="*/ 141052 h 369277"/>
            <a:gd name="connsiteX35" fmla="*/ 1869615 w 2167305"/>
            <a:gd name="connsiteY35" fmla="*/ 228226 h 369277"/>
            <a:gd name="connsiteX36" fmla="*/ 1818762 w 2167305"/>
            <a:gd name="connsiteY36" fmla="*/ 369277 h 369277"/>
            <a:gd name="connsiteX37" fmla="*/ 1506197 w 2167305"/>
            <a:gd name="connsiteY37" fmla="*/ 369277 h 369277"/>
            <a:gd name="connsiteX38" fmla="*/ 1455344 w 2167305"/>
            <a:gd name="connsiteY38" fmla="*/ 228227 h 369277"/>
            <a:gd name="connsiteX39" fmla="*/ 1588477 w 2167305"/>
            <a:gd name="connsiteY39" fmla="*/ 141053 h 369277"/>
            <a:gd name="connsiteX40" fmla="*/ 1423916 w 2167305"/>
            <a:gd name="connsiteY40" fmla="*/ 141054 h 369277"/>
            <a:gd name="connsiteX41" fmla="*/ 1373066 w 2167305"/>
            <a:gd name="connsiteY41" fmla="*/ 2 h 369277"/>
            <a:gd name="connsiteX42" fmla="*/ 1322215 w 2167305"/>
            <a:gd name="connsiteY42" fmla="*/ 141054 h 369277"/>
            <a:gd name="connsiteX43" fmla="*/ 1157654 w 2167305"/>
            <a:gd name="connsiteY43" fmla="*/ 141053 h 369277"/>
            <a:gd name="connsiteX44" fmla="*/ 1290787 w 2167305"/>
            <a:gd name="connsiteY44" fmla="*/ 228227 h 369277"/>
            <a:gd name="connsiteX45" fmla="*/ 1239934 w 2167305"/>
            <a:gd name="connsiteY45" fmla="*/ 369277 h 369277"/>
            <a:gd name="connsiteX46" fmla="*/ 348543 w 2167305"/>
            <a:gd name="connsiteY46" fmla="*/ 369277 h 369277"/>
            <a:gd name="connsiteX47" fmla="*/ 297690 w 2167305"/>
            <a:gd name="connsiteY47" fmla="*/ 228227 h 369277"/>
            <a:gd name="connsiteX48" fmla="*/ 430823 w 2167305"/>
            <a:gd name="connsiteY48" fmla="*/ 141053 h 369277"/>
            <a:gd name="connsiteX49" fmla="*/ 266262 w 2167305"/>
            <a:gd name="connsiteY49" fmla="*/ 141054 h 369277"/>
            <a:gd name="connsiteX50" fmla="*/ 215412 w 2167305"/>
            <a:gd name="connsiteY50" fmla="*/ 2 h 369277"/>
            <a:gd name="connsiteX51" fmla="*/ 164561 w 2167305"/>
            <a:gd name="connsiteY51" fmla="*/ 141054 h 369277"/>
            <a:gd name="connsiteX52" fmla="*/ 0 w 2167305"/>
            <a:gd name="connsiteY52" fmla="*/ 141053 h 36927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Lst>
          <a:rect l="l" t="t" r="r" b="b"/>
          <a:pathLst>
            <a:path w="2167305" h="369277">
              <a:moveTo>
                <a:pt x="1373066" y="282103"/>
              </a:moveTo>
              <a:lnTo>
                <a:pt x="1506196" y="369277"/>
              </a:lnTo>
              <a:lnTo>
                <a:pt x="1239936" y="369277"/>
              </a:lnTo>
              <a:close/>
              <a:moveTo>
                <a:pt x="215412" y="282103"/>
              </a:moveTo>
              <a:lnTo>
                <a:pt x="348542" y="369277"/>
              </a:lnTo>
              <a:lnTo>
                <a:pt x="82282" y="369277"/>
              </a:lnTo>
              <a:close/>
              <a:moveTo>
                <a:pt x="1951894" y="282102"/>
              </a:moveTo>
              <a:lnTo>
                <a:pt x="2085025" y="369277"/>
              </a:lnTo>
              <a:lnTo>
                <a:pt x="1818762" y="369277"/>
              </a:lnTo>
              <a:close/>
              <a:moveTo>
                <a:pt x="0" y="141053"/>
              </a:moveTo>
              <a:lnTo>
                <a:pt x="133133" y="228227"/>
              </a:lnTo>
              <a:lnTo>
                <a:pt x="82280" y="369277"/>
              </a:lnTo>
              <a:lnTo>
                <a:pt x="0" y="369277"/>
              </a:lnTo>
              <a:close/>
              <a:moveTo>
                <a:pt x="2167305" y="141052"/>
              </a:moveTo>
              <a:lnTo>
                <a:pt x="2167305" y="369277"/>
              </a:lnTo>
              <a:lnTo>
                <a:pt x="2085025" y="369277"/>
              </a:lnTo>
              <a:lnTo>
                <a:pt x="2034172" y="228226"/>
              </a:lnTo>
              <a:close/>
              <a:moveTo>
                <a:pt x="0" y="0"/>
              </a:moveTo>
              <a:lnTo>
                <a:pt x="794239" y="0"/>
              </a:lnTo>
              <a:lnTo>
                <a:pt x="743388" y="141052"/>
              </a:lnTo>
              <a:lnTo>
                <a:pt x="578827" y="141051"/>
              </a:lnTo>
              <a:lnTo>
                <a:pt x="711960" y="228225"/>
              </a:lnTo>
              <a:lnTo>
                <a:pt x="661107" y="369276"/>
              </a:lnTo>
              <a:lnTo>
                <a:pt x="794239" y="282101"/>
              </a:lnTo>
              <a:lnTo>
                <a:pt x="927370" y="369276"/>
              </a:lnTo>
              <a:lnTo>
                <a:pt x="876517" y="228225"/>
              </a:lnTo>
              <a:lnTo>
                <a:pt x="1009650" y="141051"/>
              </a:lnTo>
              <a:lnTo>
                <a:pt x="845089" y="141052"/>
              </a:lnTo>
              <a:lnTo>
                <a:pt x="794239" y="0"/>
              </a:lnTo>
              <a:lnTo>
                <a:pt x="2167305" y="0"/>
              </a:lnTo>
              <a:lnTo>
                <a:pt x="2167305" y="141052"/>
              </a:lnTo>
              <a:lnTo>
                <a:pt x="2002744" y="141053"/>
              </a:lnTo>
              <a:lnTo>
                <a:pt x="1951894" y="1"/>
              </a:lnTo>
              <a:lnTo>
                <a:pt x="1901043" y="141053"/>
              </a:lnTo>
              <a:lnTo>
                <a:pt x="1736482" y="141052"/>
              </a:lnTo>
              <a:lnTo>
                <a:pt x="1869615" y="228226"/>
              </a:lnTo>
              <a:lnTo>
                <a:pt x="1818762" y="369277"/>
              </a:lnTo>
              <a:lnTo>
                <a:pt x="1506197" y="369277"/>
              </a:lnTo>
              <a:lnTo>
                <a:pt x="1455344" y="228227"/>
              </a:lnTo>
              <a:lnTo>
                <a:pt x="1588477" y="141053"/>
              </a:lnTo>
              <a:lnTo>
                <a:pt x="1423916" y="141054"/>
              </a:lnTo>
              <a:lnTo>
                <a:pt x="1373066" y="2"/>
              </a:lnTo>
              <a:lnTo>
                <a:pt x="1322215" y="141054"/>
              </a:lnTo>
              <a:lnTo>
                <a:pt x="1157654" y="141053"/>
              </a:lnTo>
              <a:lnTo>
                <a:pt x="1290787" y="228227"/>
              </a:lnTo>
              <a:lnTo>
                <a:pt x="1239934" y="369277"/>
              </a:lnTo>
              <a:lnTo>
                <a:pt x="348543" y="369277"/>
              </a:lnTo>
              <a:lnTo>
                <a:pt x="297690" y="228227"/>
              </a:lnTo>
              <a:lnTo>
                <a:pt x="430823" y="141053"/>
              </a:lnTo>
              <a:lnTo>
                <a:pt x="266262" y="141054"/>
              </a:lnTo>
              <a:lnTo>
                <a:pt x="215412" y="2"/>
              </a:lnTo>
              <a:lnTo>
                <a:pt x="164561" y="141054"/>
              </a:lnTo>
              <a:lnTo>
                <a:pt x="0" y="141053"/>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3</xdr:col>
      <xdr:colOff>0</xdr:colOff>
      <xdr:row>32</xdr:row>
      <xdr:rowOff>0</xdr:rowOff>
    </xdr:from>
    <xdr:to>
      <xdr:col>3</xdr:col>
      <xdr:colOff>304800</xdr:colOff>
      <xdr:row>33</xdr:row>
      <xdr:rowOff>114300</xdr:rowOff>
    </xdr:to>
    <xdr:sp macro="" textlink="">
      <xdr:nvSpPr>
        <xdr:cNvPr id="5121" name="AutoShape 1" descr="Icon Male Female Stock Illustrations ..."/>
        <xdr:cNvSpPr>
          <a:spLocks noChangeAspect="1" noChangeArrowheads="1"/>
        </xdr:cNvSpPr>
      </xdr:nvSpPr>
      <xdr:spPr bwMode="auto">
        <a:xfrm>
          <a:off x="1965960" y="609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8</xdr:col>
      <xdr:colOff>637309</xdr:colOff>
      <xdr:row>20</xdr:row>
      <xdr:rowOff>117764</xdr:rowOff>
    </xdr:from>
    <xdr:to>
      <xdr:col>16</xdr:col>
      <xdr:colOff>183711</xdr:colOff>
      <xdr:row>27</xdr:row>
      <xdr:rowOff>117402</xdr:rowOff>
    </xdr:to>
    <xdr:grpSp>
      <xdr:nvGrpSpPr>
        <xdr:cNvPr id="10" name="Group 9"/>
        <xdr:cNvGrpSpPr/>
      </xdr:nvGrpSpPr>
      <xdr:grpSpPr>
        <a:xfrm>
          <a:off x="5846618" y="3997037"/>
          <a:ext cx="4755711" cy="1357383"/>
          <a:chOff x="5846618" y="3997037"/>
          <a:chExt cx="4755711" cy="1357383"/>
        </a:xfrm>
      </xdr:grpSpPr>
      <xdr:graphicFrame macro="">
        <xdr:nvGraphicFramePr>
          <xdr:cNvPr id="58" name="Chart 57"/>
          <xdr:cNvGraphicFramePr>
            <a:graphicFrameLocks/>
          </xdr:cNvGraphicFramePr>
        </xdr:nvGraphicFramePr>
        <xdr:xfrm>
          <a:off x="5846618" y="3997176"/>
          <a:ext cx="1925781" cy="134389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9" name="Chart 58"/>
          <xdr:cNvGraphicFramePr>
            <a:graphicFrameLocks/>
          </xdr:cNvGraphicFramePr>
        </xdr:nvGraphicFramePr>
        <xdr:xfrm>
          <a:off x="8672945" y="3997037"/>
          <a:ext cx="1929384" cy="1344168"/>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76" name="Picture 75"/>
          <xdr:cNvPicPr>
            <a:picLocks noChangeAspect="1"/>
          </xdr:cNvPicPr>
        </xdr:nvPicPr>
        <xdr:blipFill>
          <a:blip xmlns:r="http://schemas.openxmlformats.org/officeDocument/2006/relationships" r:embed="rId12" cstate="print">
            <a:clrChange>
              <a:clrFrom>
                <a:srgbClr val="E8E8E8"/>
              </a:clrFrom>
              <a:clrTo>
                <a:srgbClr val="E8E8E8">
                  <a:alpha val="0"/>
                </a:srgbClr>
              </a:clrTo>
            </a:clrChange>
            <a:extLst>
              <a:ext uri="{28A0092B-C50C-407E-A947-70E740481C1C}">
                <a14:useLocalDpi xmlns:a14="http://schemas.microsoft.com/office/drawing/2010/main" val="0"/>
              </a:ext>
            </a:extLst>
          </a:blip>
          <a:stretch>
            <a:fillRect/>
          </a:stretch>
        </xdr:blipFill>
        <xdr:spPr>
          <a:xfrm>
            <a:off x="7439889" y="4100944"/>
            <a:ext cx="1565566" cy="1253476"/>
          </a:xfrm>
          <a:prstGeom prst="rect">
            <a:avLst/>
          </a:prstGeom>
        </xdr:spPr>
      </xdr:pic>
      <xdr:sp macro="" textlink="Gender!$B$9">
        <xdr:nvSpPr>
          <xdr:cNvPr id="77" name="TextBox 76"/>
          <xdr:cNvSpPr txBox="1"/>
        </xdr:nvSpPr>
        <xdr:spPr>
          <a:xfrm>
            <a:off x="6483926" y="4475018"/>
            <a:ext cx="665019" cy="33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F7DB3A-7C9C-4423-93E0-11A2FB985A1D}" type="TxLink">
              <a:rPr lang="en-US" sz="1800" b="0" i="0" u="none" strike="noStrike">
                <a:solidFill>
                  <a:srgbClr val="000000"/>
                </a:solidFill>
                <a:latin typeface="Arial Black" panose="020B0A04020102020204" pitchFamily="34" charset="0"/>
                <a:ea typeface="Calibri"/>
                <a:cs typeface="Calibri"/>
              </a:rPr>
              <a:pPr algn="ctr"/>
              <a:t>588</a:t>
            </a:fld>
            <a:endParaRPr lang="en-IN" sz="1800">
              <a:solidFill>
                <a:schemeClr val="accent1"/>
              </a:solidFill>
              <a:latin typeface="Arial Black" panose="020B0A04020102020204" pitchFamily="34" charset="0"/>
            </a:endParaRPr>
          </a:p>
        </xdr:txBody>
      </xdr:sp>
      <xdr:sp macro="" textlink="Gender!$B$10">
        <xdr:nvSpPr>
          <xdr:cNvPr id="78" name="TextBox 77"/>
          <xdr:cNvSpPr txBox="1"/>
        </xdr:nvSpPr>
        <xdr:spPr>
          <a:xfrm>
            <a:off x="9310254" y="4502727"/>
            <a:ext cx="665019" cy="332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ACA047-F654-44C9-B60B-C00056DB07F5}" type="TxLink">
              <a:rPr lang="en-US" sz="1800" b="0" i="0" u="none" strike="noStrike">
                <a:solidFill>
                  <a:srgbClr val="000000"/>
                </a:solidFill>
                <a:latin typeface="Arial Black" panose="020B0A04020102020204" pitchFamily="34" charset="0"/>
                <a:ea typeface="Calibri"/>
                <a:cs typeface="Calibri"/>
              </a:rPr>
              <a:pPr algn="ctr"/>
              <a:t>882</a:t>
            </a:fld>
            <a:endParaRPr lang="en-IN" sz="1800">
              <a:solidFill>
                <a:schemeClr val="accent1"/>
              </a:solidFill>
              <a:latin typeface="Arial Black" panose="020B0A04020102020204" pitchFamily="34" charset="0"/>
            </a:endParaRPr>
          </a:p>
        </xdr:txBody>
      </xdr:sp>
    </xdr:grpSp>
    <xdr:clientData/>
  </xdr:twoCellAnchor>
  <xdr:twoCellAnchor>
    <xdr:from>
      <xdr:col>9</xdr:col>
      <xdr:colOff>387927</xdr:colOff>
      <xdr:row>14</xdr:row>
      <xdr:rowOff>138545</xdr:rowOff>
    </xdr:from>
    <xdr:to>
      <xdr:col>15</xdr:col>
      <xdr:colOff>83127</xdr:colOff>
      <xdr:row>16</xdr:row>
      <xdr:rowOff>55417</xdr:rowOff>
    </xdr:to>
    <xdr:sp macro="" textlink="">
      <xdr:nvSpPr>
        <xdr:cNvPr id="11" name="TextBox 10"/>
        <xdr:cNvSpPr txBox="1"/>
      </xdr:nvSpPr>
      <xdr:spPr>
        <a:xfrm>
          <a:off x="6248400" y="2854036"/>
          <a:ext cx="3602182"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C3399"/>
              </a:solidFill>
              <a:latin typeface="Arial Black" panose="020B0A04020102020204" pitchFamily="34" charset="0"/>
            </a:rPr>
            <a:t>Total Employees by</a:t>
          </a:r>
          <a:r>
            <a:rPr lang="en-IN" sz="1400" baseline="0">
              <a:solidFill>
                <a:srgbClr val="CC3399"/>
              </a:solidFill>
              <a:latin typeface="Arial Black" panose="020B0A04020102020204" pitchFamily="34" charset="0"/>
            </a:rPr>
            <a:t> Gender</a:t>
          </a:r>
          <a:endParaRPr lang="en-IN" sz="1400">
            <a:solidFill>
              <a:srgbClr val="CC3399"/>
            </a:solidFill>
            <a:latin typeface="Arial Black" panose="020B0A04020102020204" pitchFamily="34" charset="0"/>
          </a:endParaRPr>
        </a:p>
      </xdr:txBody>
    </xdr:sp>
    <xdr:clientData/>
  </xdr:twoCellAnchor>
  <xdr:twoCellAnchor editAs="oneCell">
    <xdr:from>
      <xdr:col>11</xdr:col>
      <xdr:colOff>193963</xdr:colOff>
      <xdr:row>17</xdr:row>
      <xdr:rowOff>110836</xdr:rowOff>
    </xdr:from>
    <xdr:to>
      <xdr:col>14</xdr:col>
      <xdr:colOff>69272</xdr:colOff>
      <xdr:row>21</xdr:row>
      <xdr:rowOff>69273</xdr:rowOff>
    </xdr:to>
    <mc:AlternateContent xmlns:mc="http://schemas.openxmlformats.org/markup-compatibility/2006" xmlns:a14="http://schemas.microsoft.com/office/drawing/2010/main">
      <mc:Choice Requires="a14">
        <xdr:graphicFrame macro="">
          <xdr:nvGraphicFramePr>
            <xdr:cNvPr id="79" name="Gender 3"/>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356763" y="3408218"/>
              <a:ext cx="1828800" cy="7342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69273</xdr:colOff>
      <xdr:row>16</xdr:row>
      <xdr:rowOff>96982</xdr:rowOff>
    </xdr:from>
    <xdr:to>
      <xdr:col>23</xdr:col>
      <xdr:colOff>623455</xdr:colOff>
      <xdr:row>28</xdr:row>
      <xdr:rowOff>13854</xdr:rowOff>
    </xdr:to>
    <xdr:graphicFrame macro="">
      <xdr:nvGraphicFramePr>
        <xdr:cNvPr id="80" name="Chart 7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180109</xdr:colOff>
      <xdr:row>14</xdr:row>
      <xdr:rowOff>124690</xdr:rowOff>
    </xdr:from>
    <xdr:to>
      <xdr:col>21</xdr:col>
      <xdr:colOff>526473</xdr:colOff>
      <xdr:row>16</xdr:row>
      <xdr:rowOff>41562</xdr:rowOff>
    </xdr:to>
    <xdr:sp macro="" textlink="">
      <xdr:nvSpPr>
        <xdr:cNvPr id="81" name="TextBox 80"/>
        <xdr:cNvSpPr txBox="1"/>
      </xdr:nvSpPr>
      <xdr:spPr>
        <a:xfrm>
          <a:off x="10598727" y="2840181"/>
          <a:ext cx="3602182"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C3399"/>
              </a:solidFill>
              <a:latin typeface="Arial Black" panose="020B0A04020102020204" pitchFamily="34" charset="0"/>
            </a:rPr>
            <a:t>Education</a:t>
          </a:r>
          <a:r>
            <a:rPr lang="en-IN" sz="1400" baseline="0">
              <a:solidFill>
                <a:srgbClr val="CC3399"/>
              </a:solidFill>
              <a:latin typeface="Arial Black" panose="020B0A04020102020204" pitchFamily="34" charset="0"/>
            </a:rPr>
            <a:t> wise Attrition</a:t>
          </a:r>
          <a:endParaRPr lang="en-IN" sz="1400">
            <a:solidFill>
              <a:srgbClr val="CC3399"/>
            </a:solidFill>
            <a:latin typeface="Arial Black" panose="020B0A04020102020204" pitchFamily="34" charset="0"/>
          </a:endParaRPr>
        </a:p>
      </xdr:txBody>
    </xdr:sp>
    <xdr:clientData/>
  </xdr:twoCellAnchor>
  <xdr:twoCellAnchor>
    <xdr:from>
      <xdr:col>24</xdr:col>
      <xdr:colOff>193964</xdr:colOff>
      <xdr:row>16</xdr:row>
      <xdr:rowOff>124691</xdr:rowOff>
    </xdr:from>
    <xdr:to>
      <xdr:col>30</xdr:col>
      <xdr:colOff>166253</xdr:colOff>
      <xdr:row>28</xdr:row>
      <xdr:rowOff>13854</xdr:rowOff>
    </xdr:to>
    <mc:AlternateContent xmlns:mc="http://schemas.openxmlformats.org/markup-compatibility/2006">
      <mc:Choice xmlns:cx1="http://schemas.microsoft.com/office/drawing/2015/9/8/chartex" Requires="cx1">
        <xdr:graphicFrame macro="">
          <xdr:nvGraphicFramePr>
            <xdr:cNvPr id="82" name="Chart 81"/>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346364</xdr:colOff>
      <xdr:row>14</xdr:row>
      <xdr:rowOff>124691</xdr:rowOff>
    </xdr:from>
    <xdr:to>
      <xdr:col>29</xdr:col>
      <xdr:colOff>69273</xdr:colOff>
      <xdr:row>16</xdr:row>
      <xdr:rowOff>41563</xdr:rowOff>
    </xdr:to>
    <xdr:sp macro="" textlink="">
      <xdr:nvSpPr>
        <xdr:cNvPr id="83" name="TextBox 82"/>
        <xdr:cNvSpPr txBox="1"/>
      </xdr:nvSpPr>
      <xdr:spPr>
        <a:xfrm>
          <a:off x="15974291" y="2840182"/>
          <a:ext cx="3602182"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C3399"/>
              </a:solidFill>
              <a:latin typeface="Arial Black" panose="020B0A04020102020204" pitchFamily="34" charset="0"/>
            </a:rPr>
            <a:t>Attrition by Job Role</a:t>
          </a:r>
        </a:p>
      </xdr:txBody>
    </xdr:sp>
    <xdr:clientData/>
  </xdr:twoCellAnchor>
  <xdr:twoCellAnchor>
    <xdr:from>
      <xdr:col>9</xdr:col>
      <xdr:colOff>290945</xdr:colOff>
      <xdr:row>30</xdr:row>
      <xdr:rowOff>124691</xdr:rowOff>
    </xdr:from>
    <xdr:to>
      <xdr:col>15</xdr:col>
      <xdr:colOff>401780</xdr:colOff>
      <xdr:row>41</xdr:row>
      <xdr:rowOff>110837</xdr:rowOff>
    </xdr:to>
    <xdr:graphicFrame macro="">
      <xdr:nvGraphicFramePr>
        <xdr:cNvPr id="84" name="Chart 8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318654</xdr:colOff>
      <xdr:row>28</xdr:row>
      <xdr:rowOff>152400</xdr:rowOff>
    </xdr:from>
    <xdr:to>
      <xdr:col>15</xdr:col>
      <xdr:colOff>13854</xdr:colOff>
      <xdr:row>30</xdr:row>
      <xdr:rowOff>69272</xdr:rowOff>
    </xdr:to>
    <xdr:sp macro="" textlink="">
      <xdr:nvSpPr>
        <xdr:cNvPr id="86" name="TextBox 85"/>
        <xdr:cNvSpPr txBox="1"/>
      </xdr:nvSpPr>
      <xdr:spPr>
        <a:xfrm>
          <a:off x="6179127" y="5583382"/>
          <a:ext cx="3602182"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C3399"/>
              </a:solidFill>
              <a:latin typeface="Arial Black" panose="020B0A04020102020204" pitchFamily="34" charset="0"/>
            </a:rPr>
            <a:t>Department wise Attrition</a:t>
          </a:r>
        </a:p>
      </xdr:txBody>
    </xdr:sp>
    <xdr:clientData/>
  </xdr:twoCellAnchor>
  <xdr:twoCellAnchor>
    <xdr:from>
      <xdr:col>16</xdr:col>
      <xdr:colOff>55418</xdr:colOff>
      <xdr:row>30</xdr:row>
      <xdr:rowOff>138547</xdr:rowOff>
    </xdr:from>
    <xdr:to>
      <xdr:col>21</xdr:col>
      <xdr:colOff>540328</xdr:colOff>
      <xdr:row>41</xdr:row>
      <xdr:rowOff>96982</xdr:rowOff>
    </xdr:to>
    <xdr:graphicFrame macro="">
      <xdr:nvGraphicFramePr>
        <xdr:cNvPr id="87" name="Chart 8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207818</xdr:colOff>
      <xdr:row>28</xdr:row>
      <xdr:rowOff>152400</xdr:rowOff>
    </xdr:from>
    <xdr:to>
      <xdr:col>21</xdr:col>
      <xdr:colOff>554182</xdr:colOff>
      <xdr:row>30</xdr:row>
      <xdr:rowOff>69272</xdr:rowOff>
    </xdr:to>
    <xdr:sp macro="" textlink="">
      <xdr:nvSpPr>
        <xdr:cNvPr id="88" name="TextBox 87"/>
        <xdr:cNvSpPr txBox="1"/>
      </xdr:nvSpPr>
      <xdr:spPr>
        <a:xfrm>
          <a:off x="10626436" y="5583382"/>
          <a:ext cx="3602182"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C3399"/>
              </a:solidFill>
              <a:latin typeface="Arial Black" panose="020B0A04020102020204" pitchFamily="34" charset="0"/>
            </a:rPr>
            <a:t>Attrition by Age</a:t>
          </a:r>
          <a:r>
            <a:rPr lang="en-IN" sz="1400" baseline="0">
              <a:solidFill>
                <a:srgbClr val="CC3399"/>
              </a:solidFill>
              <a:latin typeface="Arial Black" panose="020B0A04020102020204" pitchFamily="34" charset="0"/>
            </a:rPr>
            <a:t> Group</a:t>
          </a:r>
          <a:endParaRPr lang="en-IN" sz="1400">
            <a:solidFill>
              <a:srgbClr val="CC3399"/>
            </a:solidFill>
            <a:latin typeface="Arial Black" panose="020B0A04020102020204" pitchFamily="34" charset="0"/>
          </a:endParaRPr>
        </a:p>
      </xdr:txBody>
    </xdr:sp>
    <xdr:clientData/>
  </xdr:twoCellAnchor>
  <xdr:twoCellAnchor>
    <xdr:from>
      <xdr:col>22</xdr:col>
      <xdr:colOff>110836</xdr:colOff>
      <xdr:row>30</xdr:row>
      <xdr:rowOff>152400</xdr:rowOff>
    </xdr:from>
    <xdr:to>
      <xdr:col>26</xdr:col>
      <xdr:colOff>526472</xdr:colOff>
      <xdr:row>41</xdr:row>
      <xdr:rowOff>96982</xdr:rowOff>
    </xdr:to>
    <xdr:graphicFrame macro="">
      <xdr:nvGraphicFramePr>
        <xdr:cNvPr id="89" name="Chart 8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83127</xdr:colOff>
      <xdr:row>28</xdr:row>
      <xdr:rowOff>166254</xdr:rowOff>
    </xdr:from>
    <xdr:to>
      <xdr:col>27</xdr:col>
      <xdr:colOff>221673</xdr:colOff>
      <xdr:row>30</xdr:row>
      <xdr:rowOff>83126</xdr:rowOff>
    </xdr:to>
    <xdr:sp macro="" textlink="">
      <xdr:nvSpPr>
        <xdr:cNvPr id="90" name="TextBox 89"/>
        <xdr:cNvSpPr txBox="1"/>
      </xdr:nvSpPr>
      <xdr:spPr>
        <a:xfrm>
          <a:off x="14408727" y="5597236"/>
          <a:ext cx="3602182" cy="304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CC3399"/>
              </a:solidFill>
              <a:latin typeface="Arial Black" panose="020B0A04020102020204" pitchFamily="34" charset="0"/>
            </a:rPr>
            <a:t>Attrition by Marital Status</a:t>
          </a:r>
        </a:p>
      </xdr:txBody>
    </xdr:sp>
    <xdr:clientData/>
  </xdr:twoCellAnchor>
  <xdr:twoCellAnchor editAs="oneCell">
    <xdr:from>
      <xdr:col>29</xdr:col>
      <xdr:colOff>115686</xdr:colOff>
      <xdr:row>32</xdr:row>
      <xdr:rowOff>69273</xdr:rowOff>
    </xdr:from>
    <xdr:to>
      <xdr:col>30</xdr:col>
      <xdr:colOff>180109</xdr:colOff>
      <xdr:row>38</xdr:row>
      <xdr:rowOff>180108</xdr:rowOff>
    </xdr:to>
    <mc:AlternateContent xmlns:mc="http://schemas.openxmlformats.org/markup-compatibility/2006" xmlns:a14="http://schemas.microsoft.com/office/drawing/2010/main">
      <mc:Choice Requires="a14">
        <xdr:graphicFrame macro="">
          <xdr:nvGraphicFramePr>
            <xdr:cNvPr id="91"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9622886" y="6276109"/>
              <a:ext cx="923405" cy="12746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706582</xdr:colOff>
      <xdr:row>30</xdr:row>
      <xdr:rowOff>152401</xdr:rowOff>
    </xdr:from>
    <xdr:to>
      <xdr:col>29</xdr:col>
      <xdr:colOff>96983</xdr:colOff>
      <xdr:row>41</xdr:row>
      <xdr:rowOff>152401</xdr:rowOff>
    </xdr:to>
    <mc:AlternateContent xmlns:mc="http://schemas.openxmlformats.org/markup-compatibility/2006" xmlns:a14="http://schemas.microsoft.com/office/drawing/2010/main">
      <mc:Choice Requires="a14">
        <xdr:graphicFrame macro="">
          <xdr:nvGraphicFramePr>
            <xdr:cNvPr id="92" name="Education Field 3"/>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7636837" y="5971310"/>
              <a:ext cx="1967346"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775854</xdr:colOff>
      <xdr:row>30</xdr:row>
      <xdr:rowOff>152400</xdr:rowOff>
    </xdr:from>
    <xdr:to>
      <xdr:col>28</xdr:col>
      <xdr:colOff>249382</xdr:colOff>
      <xdr:row>32</xdr:row>
      <xdr:rowOff>13855</xdr:rowOff>
    </xdr:to>
    <xdr:sp macro="" textlink="">
      <xdr:nvSpPr>
        <xdr:cNvPr id="12" name="TextBox 11"/>
        <xdr:cNvSpPr txBox="1"/>
      </xdr:nvSpPr>
      <xdr:spPr>
        <a:xfrm>
          <a:off x="17706109" y="5971309"/>
          <a:ext cx="1191491" cy="249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mn-lt"/>
            </a:rPr>
            <a:t>Education Field</a:t>
          </a:r>
        </a:p>
      </xdr:txBody>
    </xdr:sp>
    <xdr:clientData/>
  </xdr:twoCellAnchor>
  <xdr:twoCellAnchor>
    <xdr:from>
      <xdr:col>29</xdr:col>
      <xdr:colOff>138546</xdr:colOff>
      <xdr:row>30</xdr:row>
      <xdr:rowOff>152399</xdr:rowOff>
    </xdr:from>
    <xdr:to>
      <xdr:col>30</xdr:col>
      <xdr:colOff>263235</xdr:colOff>
      <xdr:row>32</xdr:row>
      <xdr:rowOff>41564</xdr:rowOff>
    </xdr:to>
    <xdr:sp macro="" textlink="">
      <xdr:nvSpPr>
        <xdr:cNvPr id="13" name="TextBox 12"/>
        <xdr:cNvSpPr txBox="1"/>
      </xdr:nvSpPr>
      <xdr:spPr>
        <a:xfrm>
          <a:off x="19645746" y="5971308"/>
          <a:ext cx="983671" cy="2770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Department</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xdr:cNvGrpSpPr/>
      </xdr:nvGrpSpPr>
      <xdr:grpSpPr>
        <a:xfrm>
          <a:off x="1045845" y="295275"/>
          <a:ext cx="10191750" cy="7124700"/>
          <a:chOff x="509146" y="381848"/>
          <a:chExt cx="10183419" cy="7103376"/>
        </a:xfrm>
      </xdr:grpSpPr>
      <xdr:grpSp>
        <xdr:nvGrpSpPr>
          <xdr:cNvPr id="54" name="Shape 54"/>
          <xdr:cNvGrpSpPr/>
        </xdr:nvGrpSpPr>
        <xdr:grpSpPr>
          <a:xfrm>
            <a:off x="509146" y="381848"/>
            <a:ext cx="10183419" cy="7103376"/>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xdr:cNvGrpSpPr/>
          </xdr:nvGrpSpPr>
          <xdr:grpSpPr>
            <a:xfrm>
              <a:off x="1846116" y="1215714"/>
              <a:ext cx="13289109" cy="998848"/>
              <a:chOff x="1846116" y="1215714"/>
              <a:chExt cx="13403409" cy="998848"/>
            </a:xfrm>
          </xdr:grpSpPr>
          <xdr:sp macro="" textlink="">
            <xdr:nvSpPr>
              <xdr:cNvPr id="60" name="Shape 60"/>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xdr:cNvGrpSpPr/>
          </xdr:nvGrpSpPr>
          <xdr:grpSpPr>
            <a:xfrm>
              <a:off x="1847145" y="5162550"/>
              <a:ext cx="3867930" cy="2709509"/>
              <a:chOff x="1847145" y="2304895"/>
              <a:chExt cx="3867930" cy="2772878"/>
            </a:xfrm>
          </xdr:grpSpPr>
          <xdr:sp macro="" textlink="">
            <xdr:nvSpPr>
              <xdr:cNvPr id="66" name="Shape 66"/>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xdr:cNvGrpSpPr/>
      </xdr:nvGrpSpPr>
      <xdr:grpSpPr>
        <a:xfrm>
          <a:off x="1083945" y="514350"/>
          <a:ext cx="14830425" cy="7381875"/>
          <a:chOff x="0" y="89063"/>
          <a:chExt cx="10692000" cy="7381875"/>
        </a:xfrm>
      </xdr:grpSpPr>
      <xdr:grpSp>
        <xdr:nvGrpSpPr>
          <xdr:cNvPr id="79" name="Shape 79"/>
          <xdr:cNvGrpSpPr/>
        </xdr:nvGrpSpPr>
        <xdr:grpSpPr>
          <a:xfrm>
            <a:off x="0" y="89063"/>
            <a:ext cx="10692000" cy="7381875"/>
            <a:chOff x="1752600" y="190500"/>
            <a:chExt cx="13468350" cy="7776000"/>
          </a:xfrm>
        </xdr:grpSpPr>
        <xdr:sp macro="" textlink="">
          <xdr:nvSpPr>
            <xdr:cNvPr id="4" name="Shape 4"/>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xdr:cNvGrpSpPr/>
          </xdr:nvGrpSpPr>
          <xdr:grpSpPr>
            <a:xfrm>
              <a:off x="1846116" y="1215714"/>
              <a:ext cx="13289109" cy="998848"/>
              <a:chOff x="1846116" y="1215714"/>
              <a:chExt cx="13403409" cy="998848"/>
            </a:xfrm>
          </xdr:grpSpPr>
          <xdr:sp macro="" textlink="">
            <xdr:nvSpPr>
              <xdr:cNvPr id="85" name="Shape 85"/>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xdr:cNvGrpSpPr/>
          </xdr:nvGrpSpPr>
          <xdr:grpSpPr>
            <a:xfrm>
              <a:off x="1847145" y="5162550"/>
              <a:ext cx="3867930" cy="2709509"/>
              <a:chOff x="1847145" y="2304895"/>
              <a:chExt cx="3867930" cy="2772878"/>
            </a:xfrm>
          </xdr:grpSpPr>
          <xdr:sp macro="" textlink="">
            <xdr:nvSpPr>
              <xdr:cNvPr id="91" name="Shape 91"/>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161.64301226852" createdVersion="6" refreshedVersion="6" minRefreshableVersion="3" recordCount="1470">
  <cacheSource type="worksheet">
    <worksheetSource name="Table_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64"/>
  </dataFields>
  <formats count="8">
    <format dxfId="7">
      <pivotArea outline="0" collapsedLevelsAreSubtotals="1" fieldPosition="0"/>
    </format>
    <format dxfId="6">
      <pivotArea outline="0" collapsedLevelsAreSubtotals="1" fieldPosition="0"/>
    </format>
    <format dxfId="5">
      <pivotArea outline="0" collapsedLevelsAreSubtotals="1" fieldPosition="0"/>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Education by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ttrition by Job"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Dept wise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0" format="4">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Attrition by Age grp"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Marital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2" sourceName="Gender">
  <pivotTables>
    <pivotTable tabId="9" name="Gender"/>
    <pivotTable tabId="13" name="Attrition by Age grp"/>
    <pivotTable tabId="11" name="Attrition by Job"/>
    <pivotTable tabId="12" name="Dept wise Attrition"/>
    <pivotTable tabId="10" name="Education by Attrition"/>
    <pivotTable tabId="7" name="PivotTable1"/>
    <pivotTable tabId="14" name="Marital Status"/>
    <pivotTable tabId="8" name="Rating"/>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3" name="Attrition by Age grp"/>
    <pivotTable tabId="11" name="Attrition by Job"/>
    <pivotTable tabId="12" name="Dept wise Attrition"/>
    <pivotTable tabId="10" name="Education by Attrition"/>
    <pivotTable tabId="9" name="Gender"/>
    <pivotTable tabId="7" name="PivotTable1"/>
    <pivotTable tabId="14" name="Marital Status"/>
    <pivotTable tabId="8" name="Rating"/>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_Field2" sourceName="Education Field">
  <pivotTables>
    <pivotTable tabId="13" name="Attrition by Age grp"/>
    <pivotTable tabId="11" name="Attrition by Job"/>
    <pivotTable tabId="12" name="Dept wise Attrition"/>
    <pivotTable tabId="10" name="Education by Attrition"/>
    <pivotTable tabId="9" name="Gender"/>
    <pivotTable tabId="7" name="PivotTable1"/>
    <pivotTable tabId="14" name="Marital Status"/>
    <pivotTable tabId="8" name="Rating"/>
  </pivotTables>
  <data>
    <tabular pivotCacheId="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1" cache="Slicer_Gender2" caption="Gender" rowHeight="260350"/>
  <slicer name="Education Field"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2" cache="Slicer_Gender2" caption="Gender" rowHeight="260350"/>
  <slicer name="Education Field 1"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60350"/>
  <slicer name="Education Field 2"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mc:Ignorable="x">
  <slicer name="Gender 3" cache="Slicer_Gender2" caption="Gender" columnCount="2" rowHeight="260350"/>
  <slicer name="Department 1" cache="Slicer_Department" style="SlicerStyleDark6" rowHeight="260350"/>
  <slicer name="Education Field 3" cache="Slicer_Education_Field2" style="SlicerStyleDark6" rowHeight="260350"/>
</slicers>
</file>

<file path=xl/tables/table1.xml><?xml version="1.0" encoding="utf-8"?>
<table xmlns="http://schemas.openxmlformats.org/spreadsheetml/2006/main" id="1" name="Table_1" displayName="Table_1" ref="A1:AR1471">
  <tableColumns count="44">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8"/>
  <sheetViews>
    <sheetView workbookViewId="0">
      <selection activeCell="C25" sqref="C25"/>
    </sheetView>
  </sheetViews>
  <sheetFormatPr defaultRowHeight="15.6" x14ac:dyDescent="0.3"/>
  <cols>
    <col min="1" max="1" width="24.5" bestFit="1" customWidth="1"/>
    <col min="2" max="2" width="22.796875" bestFit="1" customWidth="1"/>
    <col min="3" max="3" width="13.5" bestFit="1" customWidth="1"/>
    <col min="4" max="4" width="14.796875" bestFit="1" customWidth="1"/>
    <col min="5" max="5" width="12.3984375" bestFit="1" customWidth="1"/>
  </cols>
  <sheetData>
    <row r="3" spans="1:5" x14ac:dyDescent="0.3">
      <c r="A3" s="2" t="s">
        <v>1554</v>
      </c>
      <c r="B3" s="7" t="s">
        <v>1555</v>
      </c>
      <c r="C3" s="4" t="s">
        <v>1556</v>
      </c>
    </row>
    <row r="4" spans="1:5" x14ac:dyDescent="0.3">
      <c r="A4" s="5">
        <v>1470</v>
      </c>
      <c r="B4" s="8">
        <v>237</v>
      </c>
      <c r="C4" s="6">
        <v>36.923809523809524</v>
      </c>
    </row>
    <row r="7" spans="1:5" x14ac:dyDescent="0.3">
      <c r="A7" t="s">
        <v>1557</v>
      </c>
      <c r="B7" t="s">
        <v>1558</v>
      </c>
      <c r="C7" t="s">
        <v>1559</v>
      </c>
      <c r="D7" t="s">
        <v>1560</v>
      </c>
      <c r="E7" t="s">
        <v>1561</v>
      </c>
    </row>
    <row r="8" spans="1:5" x14ac:dyDescent="0.3">
      <c r="A8">
        <f>GETPIVOTDATA("Count of Employee Number",$A$3)</f>
        <v>1470</v>
      </c>
      <c r="B8">
        <f>GETPIVOTDATA("Sum of CF_attrition count",$A$3)</f>
        <v>237</v>
      </c>
      <c r="C8" s="11">
        <f>GETPIVOTDATA("Average of Age",$A$3)</f>
        <v>36.923809523809524</v>
      </c>
      <c r="D8">
        <f>A8-B8</f>
        <v>1233</v>
      </c>
      <c r="E8" s="9">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N20" sqref="N20"/>
    </sheetView>
  </sheetViews>
  <sheetFormatPr defaultRowHeight="15.6" x14ac:dyDescent="0.3"/>
  <cols>
    <col min="1" max="1" width="23.59765625" bestFit="1" customWidth="1"/>
  </cols>
  <sheetData>
    <row r="3" spans="1:3" x14ac:dyDescent="0.3">
      <c r="A3" s="3" t="s">
        <v>1562</v>
      </c>
    </row>
    <row r="4" spans="1:3" x14ac:dyDescent="0.3">
      <c r="A4" s="13">
        <v>2.6265306122448981</v>
      </c>
    </row>
    <row r="7" spans="1:3" x14ac:dyDescent="0.3">
      <c r="A7" s="14" t="s">
        <v>1563</v>
      </c>
      <c r="B7" s="10">
        <f>GETPIVOTDATA("Job Satisfaction",$A$3)</f>
        <v>2.6265306122448981</v>
      </c>
      <c r="C7">
        <f>B7/4</f>
        <v>0.65663265306122454</v>
      </c>
    </row>
    <row r="8" spans="1:3" x14ac:dyDescent="0.3">
      <c r="A8" s="14" t="s">
        <v>1564</v>
      </c>
      <c r="B8" s="10">
        <f>4-GETPIVOTDATA("Job Satisfaction",$A$3)</f>
        <v>1.3734693877551019</v>
      </c>
      <c r="C8">
        <f>B8/4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0"/>
  <sheetViews>
    <sheetView workbookViewId="0">
      <selection activeCell="C9" sqref="C9:C10"/>
    </sheetView>
  </sheetViews>
  <sheetFormatPr defaultRowHeight="15.6" x14ac:dyDescent="0.3"/>
  <cols>
    <col min="1" max="1" width="12.19921875" bestFit="1" customWidth="1"/>
    <col min="2" max="2" width="22.796875" bestFit="1" customWidth="1"/>
  </cols>
  <sheetData>
    <row r="3" spans="1:3" x14ac:dyDescent="0.3">
      <c r="A3" s="15" t="s">
        <v>1565</v>
      </c>
      <c r="B3" s="3" t="s">
        <v>1567</v>
      </c>
    </row>
    <row r="4" spans="1:3" x14ac:dyDescent="0.3">
      <c r="A4" s="16" t="s">
        <v>51</v>
      </c>
      <c r="B4" s="17">
        <v>588</v>
      </c>
    </row>
    <row r="5" spans="1:3" x14ac:dyDescent="0.3">
      <c r="A5" s="18" t="s">
        <v>62</v>
      </c>
      <c r="B5" s="19">
        <v>882</v>
      </c>
    </row>
    <row r="6" spans="1:3" x14ac:dyDescent="0.3">
      <c r="A6" s="20" t="s">
        <v>1566</v>
      </c>
      <c r="B6" s="21">
        <v>1470</v>
      </c>
    </row>
    <row r="9" spans="1:3" x14ac:dyDescent="0.3">
      <c r="A9" s="22" t="s">
        <v>51</v>
      </c>
      <c r="B9">
        <f>IFERROR(GETPIVOTDATA("Employee Count",$A$3,"Gender","Female"),0)</f>
        <v>588</v>
      </c>
      <c r="C9" s="23">
        <f>IFERROR(B9/($B$9+$B$10),0)</f>
        <v>0.4</v>
      </c>
    </row>
    <row r="10" spans="1:3" x14ac:dyDescent="0.3">
      <c r="A10" s="22" t="s">
        <v>62</v>
      </c>
      <c r="B10">
        <f>IFERROR(GETPIVOTDATA("Employee Count",$A$3,"Gender","Male"),0)</f>
        <v>882</v>
      </c>
      <c r="C10" s="23">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5" sqref="B5"/>
    </sheetView>
  </sheetViews>
  <sheetFormatPr defaultRowHeight="15.6" x14ac:dyDescent="0.3"/>
  <cols>
    <col min="1" max="1" width="16" bestFit="1" customWidth="1"/>
    <col min="2" max="2" width="22.796875" bestFit="1" customWidth="1"/>
  </cols>
  <sheetData>
    <row r="3" spans="1:2" x14ac:dyDescent="0.3">
      <c r="A3" s="15" t="s">
        <v>1565</v>
      </c>
      <c r="B3" s="3" t="s">
        <v>1555</v>
      </c>
    </row>
    <row r="4" spans="1:2" x14ac:dyDescent="0.3">
      <c r="A4" s="16" t="s">
        <v>134</v>
      </c>
      <c r="B4" s="17">
        <v>5</v>
      </c>
    </row>
    <row r="5" spans="1:2" x14ac:dyDescent="0.3">
      <c r="A5" s="18" t="s">
        <v>65</v>
      </c>
      <c r="B5" s="19">
        <v>31</v>
      </c>
    </row>
    <row r="6" spans="1:2" x14ac:dyDescent="0.3">
      <c r="A6" s="18" t="s">
        <v>55</v>
      </c>
      <c r="B6" s="19">
        <v>44</v>
      </c>
    </row>
    <row r="7" spans="1:2" x14ac:dyDescent="0.3">
      <c r="A7" s="18" t="s">
        <v>71</v>
      </c>
      <c r="B7" s="19">
        <v>58</v>
      </c>
    </row>
    <row r="8" spans="1:2" x14ac:dyDescent="0.3">
      <c r="A8" s="18" t="s">
        <v>77</v>
      </c>
      <c r="B8" s="19">
        <v>99</v>
      </c>
    </row>
    <row r="9" spans="1:2" x14ac:dyDescent="0.3">
      <c r="A9" s="20" t="s">
        <v>1566</v>
      </c>
      <c r="B9" s="2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3"/>
  <sheetViews>
    <sheetView workbookViewId="0">
      <selection activeCell="E4" sqref="E4:F12"/>
    </sheetView>
  </sheetViews>
  <sheetFormatPr defaultRowHeight="15.6" x14ac:dyDescent="0.3"/>
  <cols>
    <col min="1" max="1" width="23.296875" bestFit="1" customWidth="1"/>
    <col min="2" max="2" width="22.796875" bestFit="1" customWidth="1"/>
    <col min="5" max="5" width="23.296875" bestFit="1" customWidth="1"/>
  </cols>
  <sheetData>
    <row r="3" spans="1:6" x14ac:dyDescent="0.3">
      <c r="A3" s="15" t="s">
        <v>1565</v>
      </c>
      <c r="B3" s="3" t="s">
        <v>1555</v>
      </c>
      <c r="E3" t="s">
        <v>9</v>
      </c>
      <c r="F3" t="s">
        <v>0</v>
      </c>
    </row>
    <row r="4" spans="1:6" x14ac:dyDescent="0.3">
      <c r="A4" s="16" t="s">
        <v>83</v>
      </c>
      <c r="B4" s="17">
        <v>9</v>
      </c>
      <c r="E4" t="str">
        <f>A4</f>
        <v>Healthcare Representative</v>
      </c>
      <c r="F4">
        <f>GETPIVOTDATA("CF_attrition count",$A$3,"Job Role",A4)</f>
        <v>9</v>
      </c>
    </row>
    <row r="5" spans="1:6" x14ac:dyDescent="0.3">
      <c r="A5" s="18" t="s">
        <v>163</v>
      </c>
      <c r="B5" s="19">
        <v>12</v>
      </c>
      <c r="E5" t="str">
        <f t="shared" ref="E5:E12" si="0">A5</f>
        <v>Human Resources</v>
      </c>
      <c r="F5">
        <f t="shared" ref="F5:F12" si="1">GETPIVOTDATA("CF_attrition count",$A$3,"Job Role",A5)</f>
        <v>12</v>
      </c>
    </row>
    <row r="6" spans="1:6" x14ac:dyDescent="0.3">
      <c r="A6" s="18" t="s">
        <v>68</v>
      </c>
      <c r="B6" s="19">
        <v>62</v>
      </c>
      <c r="E6" t="str">
        <f t="shared" si="0"/>
        <v>Laboratory Technician</v>
      </c>
      <c r="F6">
        <f t="shared" si="1"/>
        <v>62</v>
      </c>
    </row>
    <row r="7" spans="1:6" x14ac:dyDescent="0.3">
      <c r="A7" s="18" t="s">
        <v>95</v>
      </c>
      <c r="B7" s="19">
        <v>5</v>
      </c>
      <c r="E7" t="str">
        <f t="shared" si="0"/>
        <v>Manager</v>
      </c>
      <c r="F7">
        <f t="shared" si="1"/>
        <v>5</v>
      </c>
    </row>
    <row r="8" spans="1:6" x14ac:dyDescent="0.3">
      <c r="A8" s="18" t="s">
        <v>81</v>
      </c>
      <c r="B8" s="19">
        <v>10</v>
      </c>
      <c r="E8" t="str">
        <f t="shared" si="0"/>
        <v>Manufacturing Director</v>
      </c>
      <c r="F8">
        <f t="shared" si="1"/>
        <v>10</v>
      </c>
    </row>
    <row r="9" spans="1:6" x14ac:dyDescent="0.3">
      <c r="A9" s="18" t="s">
        <v>101</v>
      </c>
      <c r="B9" s="19">
        <v>2</v>
      </c>
      <c r="E9" t="str">
        <f t="shared" si="0"/>
        <v>Research Director</v>
      </c>
      <c r="F9">
        <f t="shared" si="1"/>
        <v>2</v>
      </c>
    </row>
    <row r="10" spans="1:6" x14ac:dyDescent="0.3">
      <c r="A10" s="18" t="s">
        <v>63</v>
      </c>
      <c r="B10" s="19">
        <v>47</v>
      </c>
      <c r="E10" t="str">
        <f t="shared" si="0"/>
        <v>Research Scientist</v>
      </c>
      <c r="F10">
        <f t="shared" si="1"/>
        <v>47</v>
      </c>
    </row>
    <row r="11" spans="1:6" x14ac:dyDescent="0.3">
      <c r="A11" s="18" t="s">
        <v>52</v>
      </c>
      <c r="B11" s="19">
        <v>57</v>
      </c>
      <c r="E11" t="str">
        <f t="shared" si="0"/>
        <v>Sales Executive</v>
      </c>
      <c r="F11">
        <f t="shared" si="1"/>
        <v>57</v>
      </c>
    </row>
    <row r="12" spans="1:6" x14ac:dyDescent="0.3">
      <c r="A12" s="18" t="s">
        <v>99</v>
      </c>
      <c r="B12" s="19">
        <v>33</v>
      </c>
      <c r="E12" t="str">
        <f t="shared" si="0"/>
        <v>Sales Representative</v>
      </c>
      <c r="F12">
        <f t="shared" si="1"/>
        <v>33</v>
      </c>
    </row>
    <row r="13" spans="1:6" x14ac:dyDescent="0.3">
      <c r="A13" s="20" t="s">
        <v>1566</v>
      </c>
      <c r="B13" s="21">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15" t="s">
        <v>1565</v>
      </c>
      <c r="B3" s="3" t="s">
        <v>1555</v>
      </c>
    </row>
    <row r="4" spans="1:2" x14ac:dyDescent="0.3">
      <c r="A4" s="16" t="s">
        <v>161</v>
      </c>
      <c r="B4" s="24">
        <v>5.0632911392405063E-2</v>
      </c>
    </row>
    <row r="5" spans="1:2" x14ac:dyDescent="0.3">
      <c r="A5" s="18" t="s">
        <v>60</v>
      </c>
      <c r="B5" s="25">
        <v>0.56118143459915615</v>
      </c>
    </row>
    <row r="6" spans="1:2" x14ac:dyDescent="0.3">
      <c r="A6" s="18" t="s">
        <v>48</v>
      </c>
      <c r="B6" s="25">
        <v>0.3881856540084388</v>
      </c>
    </row>
    <row r="7" spans="1:2" x14ac:dyDescent="0.3">
      <c r="A7" s="20" t="s">
        <v>1566</v>
      </c>
      <c r="B7" s="26">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B6" sqref="B6"/>
    </sheetView>
  </sheetViews>
  <sheetFormatPr defaultRowHeight="15.6" x14ac:dyDescent="0.3"/>
  <cols>
    <col min="1" max="1" width="12.19921875" bestFit="1" customWidth="1"/>
    <col min="2" max="2" width="22.796875" bestFit="1" customWidth="1"/>
  </cols>
  <sheetData>
    <row r="3" spans="1:2" x14ac:dyDescent="0.3">
      <c r="A3" s="15" t="s">
        <v>1565</v>
      </c>
      <c r="B3" s="3" t="s">
        <v>1555</v>
      </c>
    </row>
    <row r="4" spans="1:2" x14ac:dyDescent="0.3">
      <c r="A4" s="16" t="s">
        <v>69</v>
      </c>
      <c r="B4" s="17">
        <v>112</v>
      </c>
    </row>
    <row r="5" spans="1:2" x14ac:dyDescent="0.3">
      <c r="A5" s="18" t="s">
        <v>46</v>
      </c>
      <c r="B5" s="19">
        <v>51</v>
      </c>
    </row>
    <row r="6" spans="1:2" x14ac:dyDescent="0.3">
      <c r="A6" s="18" t="s">
        <v>92</v>
      </c>
      <c r="B6" s="19">
        <v>38</v>
      </c>
    </row>
    <row r="7" spans="1:2" x14ac:dyDescent="0.3">
      <c r="A7" s="18" t="s">
        <v>58</v>
      </c>
      <c r="B7" s="19">
        <v>25</v>
      </c>
    </row>
    <row r="8" spans="1:2" x14ac:dyDescent="0.3">
      <c r="A8" s="18" t="s">
        <v>75</v>
      </c>
      <c r="B8" s="19">
        <v>11</v>
      </c>
    </row>
    <row r="9" spans="1:2" x14ac:dyDescent="0.3">
      <c r="A9" s="20" t="s">
        <v>1566</v>
      </c>
      <c r="B9" s="21">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E4" sqref="E4"/>
    </sheetView>
  </sheetViews>
  <sheetFormatPr defaultRowHeight="15.6" x14ac:dyDescent="0.3"/>
  <cols>
    <col min="1" max="1" width="12.19921875" bestFit="1" customWidth="1"/>
    <col min="2" max="2" width="16" bestFit="1" customWidth="1"/>
    <col min="4" max="4" width="12.69921875" bestFit="1" customWidth="1"/>
  </cols>
  <sheetData>
    <row r="3" spans="1:5" x14ac:dyDescent="0.3">
      <c r="A3" s="15" t="s">
        <v>1565</v>
      </c>
      <c r="B3" s="3" t="s">
        <v>1568</v>
      </c>
      <c r="D3" t="s">
        <v>10</v>
      </c>
      <c r="E3" t="s">
        <v>0</v>
      </c>
    </row>
    <row r="4" spans="1:5" x14ac:dyDescent="0.3">
      <c r="A4" s="16" t="s">
        <v>79</v>
      </c>
      <c r="B4" s="17">
        <v>327</v>
      </c>
      <c r="D4" t="str">
        <f>A4</f>
        <v>Divorced</v>
      </c>
      <c r="E4">
        <f>GETPIVOTDATA("Attrition",$A$3,"Marital Status",A4)</f>
        <v>327</v>
      </c>
    </row>
    <row r="5" spans="1:5" x14ac:dyDescent="0.3">
      <c r="A5" s="18" t="s">
        <v>64</v>
      </c>
      <c r="B5" s="19">
        <v>673</v>
      </c>
      <c r="D5" t="str">
        <f>A5</f>
        <v>Married</v>
      </c>
      <c r="E5">
        <f>GETPIVOTDATA("Attrition",$A$3,"Marital Status",A5)</f>
        <v>673</v>
      </c>
    </row>
    <row r="6" spans="1:5" x14ac:dyDescent="0.3">
      <c r="A6" s="18" t="s">
        <v>53</v>
      </c>
      <c r="B6" s="19">
        <v>470</v>
      </c>
      <c r="D6" t="str">
        <f>A6</f>
        <v>Single</v>
      </c>
      <c r="E6">
        <f>GETPIVOTDATA("Attrition",$A$3,"Marital Status",A6)</f>
        <v>470</v>
      </c>
    </row>
    <row r="7" spans="1:5" x14ac:dyDescent="0.3">
      <c r="A7" s="20" t="s">
        <v>1566</v>
      </c>
      <c r="B7" s="21">
        <v>1470</v>
      </c>
    </row>
  </sheetData>
  <sortState ref="D4:E6">
    <sortCondition descending="1" ref="E5"/>
  </sortState>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topLeftCell="A2" workbookViewId="0">
      <selection activeCell="D17" sqref="D17"/>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N10" sqref="N10"/>
    </sheetView>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55" zoomScaleNormal="55" workbookViewId="0">
      <selection activeCell="F22" sqref="F22"/>
    </sheetView>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33"/>
  <sheetViews>
    <sheetView showGridLines="0" tabSelected="1" topLeftCell="D1" zoomScale="55" zoomScaleNormal="55" workbookViewId="0">
      <selection activeCell="AJ24" sqref="AJ24"/>
    </sheetView>
  </sheetViews>
  <sheetFormatPr defaultColWidth="11.19921875" defaultRowHeight="15" customHeight="1" x14ac:dyDescent="0.3"/>
  <cols>
    <col min="1" max="26" width="8.59765625" style="12" customWidth="1"/>
    <col min="27" max="16384" width="11.19921875" style="12"/>
  </cols>
  <sheetData>
    <row r="33" spans="4:4" ht="15" customHeight="1" x14ac:dyDescent="0.3">
      <c r="D33"/>
    </row>
  </sheetData>
  <pageMargins left="0.7" right="0.7" top="0.75" bottom="0.75" header="0" footer="0"/>
  <pageSetup orientation="landscape" r:id="rId1"/>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19921875" defaultRowHeight="15" customHeight="1" x14ac:dyDescent="0.3"/>
  <cols>
    <col min="1" max="26" width="8.59765625" customWidth="1"/>
  </cols>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KPI</vt:lpstr>
      <vt:lpstr>Rating</vt:lpstr>
      <vt:lpstr>Gender</vt:lpstr>
      <vt:lpstr>Education by Attrition</vt:lpstr>
      <vt:lpstr>Attrition by Job</vt:lpstr>
      <vt:lpstr>Dept wise Attrition</vt:lpstr>
      <vt:lpstr>Attrition by Age grp</vt:lpstr>
      <vt:lpstr>Marital Status</vt:lpstr>
      <vt:lpstr>Data</vt:lpstr>
      <vt:lpstr>Images</vt:lpstr>
      <vt:lpstr>Background 1</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Admin</cp:lastModifiedBy>
  <dcterms:created xsi:type="dcterms:W3CDTF">2022-12-29T16:02:46Z</dcterms:created>
  <dcterms:modified xsi:type="dcterms:W3CDTF">2026-06-18T09:42:39Z</dcterms:modified>
</cp:coreProperties>
</file>